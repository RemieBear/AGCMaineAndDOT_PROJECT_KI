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co\Downloads\"/>
    </mc:Choice>
  </mc:AlternateContent>
  <xr:revisionPtr revIDLastSave="0" documentId="13_ncr:1_{81C405F3-251A-4ACA-8AC8-D9DE4DAF9D25}" xr6:coauthVersionLast="47" xr6:coauthVersionMax="47" xr10:uidLastSave="{00000000-0000-0000-0000-000000000000}"/>
  <bookViews>
    <workbookView xWindow="-103" yWindow="-103" windowWidth="33120" windowHeight="18720" firstSheet="7" activeTab="8" xr2:uid="{00000000-000D-0000-FFFF-FFFF00000000}"/>
  </bookViews>
  <sheets>
    <sheet name="Construction ONet Codes" sheetId="4" r:id="rId1"/>
    <sheet name="Community College Programs" sheetId="7" r:id="rId2"/>
    <sheet name="Umaine Programs" sheetId="8" r:id="rId3"/>
    <sheet name="AGC Sponsored Apprenticeships " sheetId="3" r:id="rId4"/>
    <sheet name="General Job Websites" sheetId="2" r:id="rId5"/>
    <sheet name="Sheet1" sheetId="9" r:id="rId6"/>
    <sheet name="JobBoards -DOT Prequal List" sheetId="1" r:id="rId7"/>
    <sheet name="Maine DOT Jobs" sheetId="5" r:id="rId8"/>
    <sheet name="AGC Member list " sheetId="6" r:id="rId9"/>
  </sheets>
  <definedNames>
    <definedName name="_xlnm._FilterDatabase" localSheetId="8" hidden="1">'AGC Member list '!$A$132:$B$226</definedName>
  </definedNames>
  <calcPr calcId="191028"/>
  <pivotCaches>
    <pivotCache cacheId="0" r:id="rId10"/>
    <pivotCache cacheId="1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C14" i="8"/>
  <c r="C31" i="3"/>
</calcChain>
</file>

<file path=xl/sharedStrings.xml><?xml version="1.0" encoding="utf-8"?>
<sst xmlns="http://schemas.openxmlformats.org/spreadsheetml/2006/main" count="1548" uniqueCount="740">
  <si>
    <t>11-9021.00</t>
  </si>
  <si>
    <t>Construction Managers</t>
  </si>
  <si>
    <t>Overseeing entire building projects, budgets, and schedules.</t>
  </si>
  <si>
    <t>47-2031.00</t>
  </si>
  <si>
    <t>Carpenters</t>
  </si>
  <si>
    <t>Structural framing, building forms, and interior woodwork.</t>
  </si>
  <si>
    <t>47-2111.00</t>
  </si>
  <si>
    <t>Electricians</t>
  </si>
  <si>
    <t>Installing power systems, lighting, and communications in buildings.</t>
  </si>
  <si>
    <t>47-2221.00</t>
  </si>
  <si>
    <t>Structural Iron and Steel Workers</t>
  </si>
  <si>
    <t>Erecting the steel skeletons of high-rise commercial buildings.</t>
  </si>
  <si>
    <t>47-2152.00</t>
  </si>
  <si>
    <t>Plumbers &amp; Pipefitters</t>
  </si>
  <si>
    <t>Commercial HVAC, water supply, and drainage systems.</t>
  </si>
  <si>
    <t>47-2081.00</t>
  </si>
  <si>
    <t>Drywall &amp; Ceiling Tile Installers</t>
  </si>
  <si>
    <t>Finishing interior office spaces and retail layouts.</t>
  </si>
  <si>
    <t>47-2132.00</t>
  </si>
  <si>
    <t>Insulation Workers, Mechanical</t>
  </si>
  <si>
    <t>Insulating commercial boilers, pipes, and HVAC ducts.</t>
  </si>
  <si>
    <t>47-4021.00</t>
  </si>
  <si>
    <t>Elevator &amp; Escalator Installers</t>
  </si>
  <si>
    <t>Essential for multi-story commercial structures.</t>
  </si>
  <si>
    <t>17-2051.00</t>
  </si>
  <si>
    <t>Civil Engineers</t>
  </si>
  <si>
    <t>Designing and supervising roads, bridges, and water systems.</t>
  </si>
  <si>
    <t>17-2051.01</t>
  </si>
  <si>
    <t>Transportation Engineers</t>
  </si>
  <si>
    <t>Specialized planning for highway systems and traffic flow.</t>
  </si>
  <si>
    <t>47-2071.00</t>
  </si>
  <si>
    <t>Paving &amp; Tamping Operators</t>
  </si>
  <si>
    <t>Operating machines that spread and level asphalt or concrete.</t>
  </si>
  <si>
    <t>47-2073.00</t>
  </si>
  <si>
    <t>Operating Engineers</t>
  </si>
  <si>
    <t>Operating bulldozers, excavators, and graders for earthmoving.</t>
  </si>
  <si>
    <t>47-4051.00</t>
  </si>
  <si>
    <t>Highway Maintenance Workers</t>
  </si>
  <si>
    <t>Repairing roads, guardrails, and highway markers.</t>
  </si>
  <si>
    <t>47-2151.00</t>
  </si>
  <si>
    <t>Pipelayers</t>
  </si>
  <si>
    <t>Laying pipes for storm drains, water mains, and sewers.</t>
  </si>
  <si>
    <t>47-2072.00</t>
  </si>
  <si>
    <t>Pile Driver Operators</t>
  </si>
  <si>
    <t>Driving pilings for bridge foundations and retaining walls.</t>
  </si>
  <si>
    <t>47-2171.00</t>
  </si>
  <si>
    <t>Reinforcing Iron &amp; Rebar Workers</t>
  </si>
  <si>
    <t>Laying rebar for bridge decks and highway overpasses.</t>
  </si>
  <si>
    <t>47-4061.00</t>
  </si>
  <si>
    <t>Rail-Track Laying Equipment</t>
  </si>
  <si>
    <t>Specialized for heavy rail and transit infrastructure.</t>
  </si>
  <si>
    <t>The "Gold Standard" code. Covers Project Managers, Superintendents, and General Contractors.</t>
  </si>
  <si>
    <t>47-1011.00</t>
  </si>
  <si>
    <t>First-Line Supervisors</t>
  </si>
  <si>
    <t>Direct "on-the-ground" management of trade workers (Carpentry, Electric, etc.).</t>
  </si>
  <si>
    <t>13-1082.00</t>
  </si>
  <si>
    <t>Project Management Specialists</t>
  </si>
  <si>
    <t>Broad management focusing on schedule/budget; often used for "Project Coordinators."</t>
  </si>
  <si>
    <t>11-9041.00</t>
  </si>
  <si>
    <t>Architectural &amp; Engineering Managers</t>
  </si>
  <si>
    <t>Managing the design-phase and technical engineering teams.</t>
  </si>
  <si>
    <t>11-3013.00</t>
  </si>
  <si>
    <t>Facilities Managers</t>
  </si>
  <si>
    <t>Managing the maintenance and life-cycle of a building after construction.</t>
  </si>
  <si>
    <t>Company Name</t>
  </si>
  <si>
    <t>Website</t>
  </si>
  <si>
    <t>AH Grover</t>
  </si>
  <si>
    <t>Benchmark Construction</t>
  </si>
  <si>
    <t>No specific Job Openings, just to send a resume to</t>
  </si>
  <si>
    <t>Blane Casey Contractors</t>
  </si>
  <si>
    <t>Bowman Constructors</t>
  </si>
  <si>
    <t>Cianbro</t>
  </si>
  <si>
    <t>Coastal Road Repair</t>
  </si>
  <si>
    <t>Consigli</t>
  </si>
  <si>
    <t>CPM Constructors</t>
  </si>
  <si>
    <t>Crooker Construction</t>
  </si>
  <si>
    <t>Dayton Sand &amp; Gravel</t>
  </si>
  <si>
    <t>It looks like Dayton Sand &amp; Gravel uses Indeed</t>
  </si>
  <si>
    <t>Dearborn Brothers Construction, Inc.</t>
  </si>
  <si>
    <t>Doten’s Construction Inc</t>
  </si>
  <si>
    <t>Job openings in Indeed, SimplyHired, Glassdoor, Zip Recruiter</t>
  </si>
  <si>
    <t>DP Porter Contractors</t>
  </si>
  <si>
    <t>Ed Pelletier &amp; Sons</t>
  </si>
  <si>
    <t>EL Vining</t>
  </si>
  <si>
    <t>Electric Light Company</t>
  </si>
  <si>
    <t>FC Works &amp; Sons</t>
  </si>
  <si>
    <t>Uses Indeed, Career One Stop</t>
  </si>
  <si>
    <t>Ganneston Construction</t>
  </si>
  <si>
    <t>Gendron</t>
  </si>
  <si>
    <t>General Contractor Vaughan D Thibodeau</t>
  </si>
  <si>
    <t>Glidden Excavating &amp; Paving</t>
  </si>
  <si>
    <t>Gordan Contracting</t>
  </si>
  <si>
    <t>Gorham Sand &amp; Gravel</t>
  </si>
  <si>
    <t>Great Falls Builders</t>
  </si>
  <si>
    <t>Hagar Enterprises</t>
  </si>
  <si>
    <t>HE Callahan Construction</t>
  </si>
  <si>
    <t>Hopkins Paving</t>
  </si>
  <si>
    <t>Hughes Brothers</t>
  </si>
  <si>
    <t>J Pratt Construction</t>
  </si>
  <si>
    <t>Indeed for job openings</t>
  </si>
  <si>
    <t>Jordan Excavation</t>
  </si>
  <si>
    <t>Knowles Industrial</t>
  </si>
  <si>
    <t>Landry French Construction</t>
  </si>
  <si>
    <t>Langford &amp; Low</t>
  </si>
  <si>
    <t>Maine Earth</t>
  </si>
  <si>
    <t>McGee Construction</t>
  </si>
  <si>
    <t>McGillian</t>
  </si>
  <si>
    <t>Molison Electric</t>
  </si>
  <si>
    <t>New England Infrastructure</t>
  </si>
  <si>
    <t>Nickerson &amp; O’Day</t>
  </si>
  <si>
    <t>Peters Construction</t>
  </si>
  <si>
    <t>Pike Industries</t>
  </si>
  <si>
    <t>Pratt &amp; Sons</t>
  </si>
  <si>
    <t>Prock Marine Co</t>
  </si>
  <si>
    <t>RF Jordan and Sons</t>
  </si>
  <si>
    <t>RJ Grondin &amp; Sons</t>
  </si>
  <si>
    <t>Ralph McNaughton Construction</t>
  </si>
  <si>
    <t>Ranger Construction</t>
  </si>
  <si>
    <t>Reed &amp; Reed</t>
  </si>
  <si>
    <t>Sargent Corporation</t>
  </si>
  <si>
    <t>Scott Construction</t>
  </si>
  <si>
    <t>Shaw Brothers Construction</t>
  </si>
  <si>
    <t>Sheridan Corporation</t>
  </si>
  <si>
    <t>Soderberg Company</t>
  </si>
  <si>
    <t>Steelstone Industries</t>
  </si>
  <si>
    <t xml:space="preserve">Indeed and Smart Recruiters </t>
  </si>
  <si>
    <t>T Buck Construction</t>
  </si>
  <si>
    <t>Wyman &amp; Simpson</t>
  </si>
  <si>
    <t xml:space="preserve">*this list represents all jobs posted by the construction contractors listed on the MaineDOT  prequalified bidder list </t>
  </si>
  <si>
    <t>https://maine.wd5.myworkdayjobs.com/Executive?q=Department+of+Transportation</t>
  </si>
  <si>
    <t>ONET Code</t>
  </si>
  <si>
    <t>Title</t>
  </si>
  <si>
    <t>Arborist</t>
  </si>
  <si>
    <t>Bridge Carpenter/Heavy Highway</t>
  </si>
  <si>
    <t>Construction Carpenter</t>
  </si>
  <si>
    <t>Construction Craft Concrete Laborer</t>
  </si>
  <si>
    <t>Construction Craft Heavy / Highway Laborer</t>
  </si>
  <si>
    <t>Construction Equipment Operator</t>
  </si>
  <si>
    <t>Construction Specialist</t>
  </si>
  <si>
    <t>Crane Mechanic</t>
  </si>
  <si>
    <t>Crane Operator</t>
  </si>
  <si>
    <t>Earthworks Laborer</t>
  </si>
  <si>
    <t>Electrician</t>
  </si>
  <si>
    <t>Fencing Installer</t>
  </si>
  <si>
    <t>Firestopping Installer</t>
  </si>
  <si>
    <t>Firestopping Technician</t>
  </si>
  <si>
    <t>Foreman</t>
  </si>
  <si>
    <t>Lead Logging Equipment Operator</t>
  </si>
  <si>
    <t>Marine Carpenter - Heavy Civil</t>
  </si>
  <si>
    <t>Solar Mechanical Installation Technician</t>
  </si>
  <si>
    <t>Welder</t>
  </si>
  <si>
    <t xml:space="preserve">AGC Member List to be used to search job postings, Linked in profiles, and other public data for project </t>
  </si>
  <si>
    <t xml:space="preserve">**not to be used for any other purposes </t>
  </si>
  <si>
    <t>Type</t>
  </si>
  <si>
    <t>Member Name</t>
  </si>
  <si>
    <t>General Contractors</t>
  </si>
  <si>
    <t>American Defense Industrial</t>
  </si>
  <si>
    <t>Arthur C Dudley Contractor</t>
  </si>
  <si>
    <t>Bancroft Contractor Corp</t>
  </si>
  <si>
    <t>Beaupre's Construction LLC</t>
  </si>
  <si>
    <t>Bedard Excavation</t>
  </si>
  <si>
    <t>C. M. Cimino, Inc</t>
  </si>
  <si>
    <t>Carl Huston Excavation</t>
  </si>
  <si>
    <t>CCB, Inc</t>
  </si>
  <si>
    <t>CEM DP Porter Contractor</t>
  </si>
  <si>
    <t>Cianbro Corporation</t>
  </si>
  <si>
    <t>Coastal Maine General Contracting</t>
  </si>
  <si>
    <t>Consigli Construction</t>
  </si>
  <si>
    <t>Crooker Construction, LLC</t>
  </si>
  <si>
    <t>Dearborn Brothers Construction</t>
  </si>
  <si>
    <t>Doten's Construction</t>
  </si>
  <si>
    <t>E. W. Littlefield Inc. &amp; Sons</t>
  </si>
  <si>
    <t>Ed Pelletier &amp; Sons Co.</t>
  </si>
  <si>
    <t>Emery Lee &amp; Sons, Inc.</t>
  </si>
  <si>
    <t>Eurovia Atlantic Coast, LLC</t>
  </si>
  <si>
    <t>Gendron Corp.</t>
  </si>
  <si>
    <t>Great Falls Construction</t>
  </si>
  <si>
    <t>H. B. Fleming, Inc</t>
  </si>
  <si>
    <t>H. E. Callahan Construction Co</t>
  </si>
  <si>
    <t>Hahnel Bros. Inc.</t>
  </si>
  <si>
    <t>Hanscom Construction Corp</t>
  </si>
  <si>
    <t>Harold MacQuinn, Inc</t>
  </si>
  <si>
    <t>Hebert Construction</t>
  </si>
  <si>
    <t>Homes of Acadia</t>
  </si>
  <si>
    <t>Knowles Industrial Services</t>
  </si>
  <si>
    <t>Lajoie Brothers Inc.</t>
  </si>
  <si>
    <t>Landry/French Construction</t>
  </si>
  <si>
    <t>Langford &amp; Low, Inc</t>
  </si>
  <si>
    <t>Maine Design Build</t>
  </si>
  <si>
    <t>N.M. Curtis Earthworks</t>
  </si>
  <si>
    <t>Nickerson &amp; O'Day, Inc</t>
  </si>
  <si>
    <t>Northern Closure Constrution</t>
  </si>
  <si>
    <t>Optimum Inc.</t>
  </si>
  <si>
    <t>Ouellet Construction</t>
  </si>
  <si>
    <t>Patco Construction, Inc</t>
  </si>
  <si>
    <t xml:space="preserve">PC Construction, Inc </t>
  </si>
  <si>
    <t>Penobscot General Contractors</t>
  </si>
  <si>
    <t>Pike Industries, Inc</t>
  </si>
  <si>
    <t>PNM Construction Inc.</t>
  </si>
  <si>
    <t>Pratt &amp; Sons, Inc</t>
  </si>
  <si>
    <t>R. J. Grondin &amp; Sons, Inc</t>
  </si>
  <si>
    <t>Ranger Contracting</t>
  </si>
  <si>
    <t>Reed &amp; Reed, Inc</t>
  </si>
  <si>
    <t>Scott Construction Corporation</t>
  </si>
  <si>
    <t>Shaw Brothers Construction, Inc</t>
  </si>
  <si>
    <t>Shaw Earthworks, Inc</t>
  </si>
  <si>
    <t>The Lander Group</t>
  </si>
  <si>
    <t>Turner Construction Company</t>
  </si>
  <si>
    <t>Wright-Ryan Construction, Inc</t>
  </si>
  <si>
    <t>Wyman &amp; Simpson, Inc</t>
  </si>
  <si>
    <t>Specialty Contractors</t>
  </si>
  <si>
    <t>A.D. Electric &amp; Directional Boring</t>
  </si>
  <si>
    <t>A.H. Grover, Inc</t>
  </si>
  <si>
    <t>ABM Mechanical, Inc</t>
  </si>
  <si>
    <t>Acadia Painting</t>
  </si>
  <si>
    <t>Aceto Earthworks, LLC</t>
  </si>
  <si>
    <t>American Aerial Services, Inc</t>
  </si>
  <si>
    <t>Atlantic Power Constructors</t>
  </si>
  <si>
    <t xml:space="preserve">Badger Daylighting Corp </t>
  </si>
  <si>
    <t>Bark Bros, Inc.</t>
  </si>
  <si>
    <t>Black Bear Crane</t>
  </si>
  <si>
    <t>Bonneau &amp; Son Excavation</t>
  </si>
  <si>
    <t>Built by Terry</t>
  </si>
  <si>
    <t>C. A. Newcomb &amp; Sons</t>
  </si>
  <si>
    <t>Carver Carpentry &amp; Excavation</t>
  </si>
  <si>
    <t>Chase Excavating Inc.</t>
  </si>
  <si>
    <t>CMI Concrete Professionals</t>
  </si>
  <si>
    <t>Comprehensive Land Technologies</t>
  </si>
  <si>
    <t>Copiam Asphalt Solutions</t>
  </si>
  <si>
    <t>Cote Crane &amp; Rigging</t>
  </si>
  <si>
    <t>Coutts Bros</t>
  </si>
  <si>
    <t>Curtis Construction, LLC</t>
  </si>
  <si>
    <t>Dirigo Materials</t>
  </si>
  <si>
    <t>Double R Crane</t>
  </si>
  <si>
    <t>E. S. Boulos Company</t>
  </si>
  <si>
    <t>Fadden Chipping &amp; Logging, Inc.</t>
  </si>
  <si>
    <t>FMG Enterprises of New England Inc.</t>
  </si>
  <si>
    <t>Gaftek, Inc.</t>
  </si>
  <si>
    <t>Gorham Sand &amp; Gravel, Inc</t>
  </si>
  <si>
    <t>Hawkes Tree Service</t>
  </si>
  <si>
    <t>Hird Contracting</t>
  </si>
  <si>
    <t>Hughes Bros, Inc</t>
  </si>
  <si>
    <t>J McLaughlin Construction LLC</t>
  </si>
  <si>
    <t>Keeley Electrical Contractors</t>
  </si>
  <si>
    <t>Louth Callan Renewables</t>
  </si>
  <si>
    <t>Main Line Fence Co., Inc</t>
  </si>
  <si>
    <t>Maine Drilling &amp; Blasting</t>
  </si>
  <si>
    <t>Mancini Electric, Inc</t>
  </si>
  <si>
    <t>Mariner Construction</t>
  </si>
  <si>
    <t>Marston Industrial Services</t>
  </si>
  <si>
    <t>Moulison Heavy Electrical</t>
  </si>
  <si>
    <t>N. S. Giles, Inc</t>
  </si>
  <si>
    <t>National Firestopping Solutions</t>
  </si>
  <si>
    <t>NES/NIS/NSS</t>
  </si>
  <si>
    <t>Northern Electric Inc.</t>
  </si>
  <si>
    <t>Ossipee Garage Doors</t>
  </si>
  <si>
    <t>Pine Tree Fence</t>
  </si>
  <si>
    <t>Prashaw Construction LLC</t>
  </si>
  <si>
    <t>Quirion</t>
  </si>
  <si>
    <t>Ray Labbe &amp; Sons, Inc</t>
  </si>
  <si>
    <t>ReVision Energy</t>
  </si>
  <si>
    <t>Sanderfoot Wind &amp; Excavating, Inc.</t>
  </si>
  <si>
    <t>Sargent Electric Company</t>
  </si>
  <si>
    <t>SC Excavation</t>
  </si>
  <si>
    <t>Schiavi Leasing</t>
  </si>
  <si>
    <t>Seal Tight Waterproofing &amp; Fire Stopping</t>
  </si>
  <si>
    <t>Sitelines PA</t>
  </si>
  <si>
    <t>Soderberg Company, Inc</t>
  </si>
  <si>
    <t>South Branch Concrete Construction LLC</t>
  </si>
  <si>
    <t>Standard Waterproofing, Inc</t>
  </si>
  <si>
    <t>Starrett Snow &amp; Landscape Services</t>
  </si>
  <si>
    <t>Storey Brothers, Inc.</t>
  </si>
  <si>
    <t>Thirsty Turf Irrigation, Inc</t>
  </si>
  <si>
    <t>Thompson's Tree Service, LLC</t>
  </si>
  <si>
    <t>Underwood Electric</t>
  </si>
  <si>
    <t>Vortex Companies</t>
  </si>
  <si>
    <t>Woods Excavating, LLC</t>
  </si>
  <si>
    <t>Suppliers</t>
  </si>
  <si>
    <t>Advanced Drainage Systems, Inc.</t>
  </si>
  <si>
    <t>American Concrete Industries, Inc.</t>
  </si>
  <si>
    <t>Anderson Equipment</t>
  </si>
  <si>
    <t>Auburn Concrete</t>
  </si>
  <si>
    <t>Black Bear Ladder</t>
  </si>
  <si>
    <t>Casco Bay Ford</t>
  </si>
  <si>
    <t>Chadwick-BaRoss, Inc</t>
  </si>
  <si>
    <t>Core and Main</t>
  </si>
  <si>
    <t>EquipmentShare</t>
  </si>
  <si>
    <t>Everett J Prescott, Inc</t>
  </si>
  <si>
    <t>Ferguson Waterworks</t>
  </si>
  <si>
    <t>Gagne &amp; Son Concrete Block</t>
  </si>
  <si>
    <t>Graybar Electric Co. Inc.</t>
  </si>
  <si>
    <t>Haley's Inc.</t>
  </si>
  <si>
    <t>Hammond Lumber Company</t>
  </si>
  <si>
    <t>Hews Company, LLC</t>
  </si>
  <si>
    <t>Huber Engineered Woods, LLC</t>
  </si>
  <si>
    <t>Maine Commercial Tire</t>
  </si>
  <si>
    <t>Maine Metal Buildings</t>
  </si>
  <si>
    <t>Maine Trailer, Inc.</t>
  </si>
  <si>
    <t>Mainely Construction Rentals</t>
  </si>
  <si>
    <t>Milton CAT</t>
  </si>
  <si>
    <t>Milton Rents</t>
  </si>
  <si>
    <t>NEFCO Corp</t>
  </si>
  <si>
    <t>O'Connor Motors</t>
  </si>
  <si>
    <t>Owen J. Folsom Inc.</t>
  </si>
  <si>
    <t>Precast Concrete of Maine</t>
  </si>
  <si>
    <t>Shawmut Equipment Company, Inc</t>
  </si>
  <si>
    <t>Summit Utilities, Inc.</t>
  </si>
  <si>
    <t>Trask-Decrow Machinery</t>
  </si>
  <si>
    <t>Triumph Modular</t>
  </si>
  <si>
    <t>United Construction &amp; Forestry</t>
  </si>
  <si>
    <t xml:space="preserve">United Rentals </t>
  </si>
  <si>
    <t>Ware-Butler Building Supply</t>
  </si>
  <si>
    <t>White Cap</t>
  </si>
  <si>
    <t>Service Providers</t>
  </si>
  <si>
    <t>Acadia Benefits</t>
  </si>
  <si>
    <t>Acorn Engineering, Inc.</t>
  </si>
  <si>
    <t>Albin, Randall &amp; Bennett</t>
  </si>
  <si>
    <t>Androscoggin Bank</t>
  </si>
  <si>
    <t>Bangor Savings Bank</t>
  </si>
  <si>
    <t>Berkley Surety</t>
  </si>
  <si>
    <t>Bernstein Shur</t>
  </si>
  <si>
    <t>BET Consulting</t>
  </si>
  <si>
    <t>Birnco Solutions</t>
  </si>
  <si>
    <t>Burdick Training &amp; Consulting</t>
  </si>
  <si>
    <t>Camden National Bank</t>
  </si>
  <si>
    <t>Clark Insurance</t>
  </si>
  <si>
    <t>Contractors Risk Management</t>
  </si>
  <si>
    <t>Cornerstone Government Affairs</t>
  </si>
  <si>
    <t>Cross Insurance</t>
  </si>
  <si>
    <t>Cross Surety</t>
  </si>
  <si>
    <t>Crum &amp; Forster Insurance</t>
  </si>
  <si>
    <t>CW Hayden</t>
  </si>
  <si>
    <t>Dirigo Architectural Engineering</t>
  </si>
  <si>
    <t>EMC Insurance</t>
  </si>
  <si>
    <t>Frankenmuth Surety</t>
  </si>
  <si>
    <t>Gallagher</t>
  </si>
  <si>
    <t>Haley Ward, Inc.</t>
  </si>
  <si>
    <t>HEC + A</t>
  </si>
  <si>
    <t>John Turner Consulting</t>
  </si>
  <si>
    <t>L &amp; D Safety Marking Corporation</t>
  </si>
  <si>
    <t>Lebel &amp; Harriman</t>
  </si>
  <si>
    <t>Machias Savings Bank</t>
  </si>
  <si>
    <t>Maine Imaging</t>
  </si>
  <si>
    <t>Maine Turnpike Authority</t>
  </si>
  <si>
    <t xml:space="preserve">Maine Works, LLC </t>
  </si>
  <si>
    <t>NAWIC Maine</t>
  </si>
  <si>
    <t>Northeast Safety Inc.</t>
  </si>
  <si>
    <t>Project Staffing, Inc./Project Flagging, Inc.</t>
  </si>
  <si>
    <t>ProMark Utility Locating, LLC</t>
  </si>
  <si>
    <t>R.W. Gillespie &amp; Associates Inc.</t>
  </si>
  <si>
    <t>Resource Options, Inc.</t>
  </si>
  <si>
    <t>S. W. Cole Engineering, Inc</t>
  </si>
  <si>
    <t>Seaboard Drilling, LLC</t>
  </si>
  <si>
    <t>Sebago Technics, Inc.</t>
  </si>
  <si>
    <t>Skillings-Shaw &amp; Associates, Inc.</t>
  </si>
  <si>
    <t>Skowhegan Savings Bank</t>
  </si>
  <si>
    <t>Sompo International</t>
  </si>
  <si>
    <t>SoulBeing</t>
  </si>
  <si>
    <t>Sparrow Energy Group</t>
  </si>
  <si>
    <t>Splane Insurance Group</t>
  </si>
  <si>
    <t>Tenna</t>
  </si>
  <si>
    <t>The Baldwin Group</t>
  </si>
  <si>
    <t>Total Construction Management, Inc</t>
  </si>
  <si>
    <t>Travelers</t>
  </si>
  <si>
    <t>United Insurance</t>
  </si>
  <si>
    <t>United Surety</t>
  </si>
  <si>
    <t>USI Insurance Services</t>
  </si>
  <si>
    <t>VHB</t>
  </si>
  <si>
    <t>Varney Insurance Agency</t>
  </si>
  <si>
    <t>Verrill Law</t>
  </si>
  <si>
    <t>Walton External Affairs</t>
  </si>
  <si>
    <t>Wellness Workdays</t>
  </si>
  <si>
    <t>Developer</t>
  </si>
  <si>
    <t>Longroad Energy</t>
  </si>
  <si>
    <t>Perennial Renewables</t>
  </si>
  <si>
    <t>Program Name</t>
  </si>
  <si>
    <t>Direct Link</t>
  </si>
  <si>
    <t>CMCC</t>
  </si>
  <si>
    <t>Building Construction Technology</t>
  </si>
  <si>
    <t>AAS Degree, Certificate</t>
  </si>
  <si>
    <t>HVAC/R Technology</t>
  </si>
  <si>
    <t>Plumbing &amp; Heating Technology</t>
  </si>
  <si>
    <t>AAS Degree</t>
  </si>
  <si>
    <t>EMCC</t>
  </si>
  <si>
    <t>Building Construction</t>
  </si>
  <si>
    <t>Plumbing</t>
  </si>
  <si>
    <t>Certificate</t>
  </si>
  <si>
    <t>Refrigeration, AC &amp; Heating</t>
  </si>
  <si>
    <t>KVCC</t>
  </si>
  <si>
    <t>Plumbing &amp; Heating</t>
  </si>
  <si>
    <t>NMCC</t>
  </si>
  <si>
    <t>Building Construction Tech</t>
  </si>
  <si>
    <t>SMCC</t>
  </si>
  <si>
    <t>Construction Technology</t>
  </si>
  <si>
    <t>WCCC</t>
  </si>
  <si>
    <t>Heavy Equipment Operations</t>
  </si>
  <si>
    <t>Heavy Equipment Maintenance</t>
  </si>
  <si>
    <t>YCCC</t>
  </si>
  <si>
    <t>Industrial Welding Techniques</t>
  </si>
  <si>
    <t>Short-term Training</t>
  </si>
  <si>
    <t>Link</t>
  </si>
  <si>
    <t>Maine Construction Academy (MCA)</t>
  </si>
  <si>
    <t>Alfond Center: Trades Track</t>
  </si>
  <si>
    <t>Transfer ME (Pre-Engineering)</t>
  </si>
  <si>
    <t>TREC Program</t>
  </si>
  <si>
    <t>Maine Workforce Development Compact</t>
  </si>
  <si>
    <t>Construction company owners/managers</t>
  </si>
  <si>
    <t>Advanced Technology Centers</t>
  </si>
  <si>
    <t>Campus</t>
  </si>
  <si>
    <t>Program Category</t>
  </si>
  <si>
    <t>Degree Type</t>
  </si>
  <si>
    <t>UMaine</t>
  </si>
  <si>
    <t>Construction</t>
  </si>
  <si>
    <t>B.S.</t>
  </si>
  <si>
    <t>Construction Engineering Technology</t>
  </si>
  <si>
    <t>UMA</t>
  </si>
  <si>
    <t>Architecture</t>
  </si>
  <si>
    <t>B.Arch</t>
  </si>
  <si>
    <t>Architecture (5-Year Professional Degree)</t>
  </si>
  <si>
    <t>Engineering</t>
  </si>
  <si>
    <t>Civil &amp; Environmental Engineering</t>
  </si>
  <si>
    <t>Mechanical Engineering</t>
  </si>
  <si>
    <t>Electrical &amp; Computer Engineering</t>
  </si>
  <si>
    <t>Surveying Engineering Technology</t>
  </si>
  <si>
    <t>USM</t>
  </si>
  <si>
    <t>Industrial Engineering</t>
  </si>
  <si>
    <t>UMA/UMPI</t>
  </si>
  <si>
    <t>Pathways</t>
  </si>
  <si>
    <t>1+3 Program</t>
  </si>
  <si>
    <t>Maine Engineering Pathways</t>
  </si>
  <si>
    <t>Category</t>
  </si>
  <si>
    <t>Government</t>
  </si>
  <si>
    <t>MaineDOT Careers</t>
  </si>
  <si>
    <t>Public Infrastructure</t>
  </si>
  <si>
    <t>Transportation Engineers, Highway Crews, Bridge Ops</t>
  </si>
  <si>
    <t>Maintenance, Civil Inspectors, Tolling Tech</t>
  </si>
  <si>
    <t>Maine.gov Job Board</t>
  </si>
  <si>
    <t>State-level Engineering</t>
  </si>
  <si>
    <t>Environmental Engineering (DEP), Project Managers</t>
  </si>
  <si>
    <t>Industry Association</t>
  </si>
  <si>
    <t>AGC Maine</t>
  </si>
  <si>
    <t>General Contractors, Trades, Safety Officers</t>
  </si>
  <si>
    <t>NSPE-Maine</t>
  </si>
  <si>
    <t>Professional Engineering</t>
  </si>
  <si>
    <t>Licensed PEs, EITs, Design Engineers</t>
  </si>
  <si>
    <t>Private Sector</t>
  </si>
  <si>
    <t>Heavy Structural, Electrical, Large-scale Power</t>
  </si>
  <si>
    <t>Sargent</t>
  </si>
  <si>
    <t>Heavy Equipment Ops, Site Supervisors, Paving</t>
  </si>
  <si>
    <t>Specialized Civil, Crane Ops, Renewable Energy</t>
  </si>
  <si>
    <t>Sebago Technics</t>
  </si>
  <si>
    <t>Civil Engineering / Survey</t>
  </si>
  <si>
    <t>Land Development, Surveyors, CAD Technicians</t>
  </si>
  <si>
    <t>Haley Ward</t>
  </si>
  <si>
    <t>Environmental / Building</t>
  </si>
  <si>
    <t>Consulting Engineers, Surveyors, Architects</t>
  </si>
  <si>
    <t>Regional Board</t>
  </si>
  <si>
    <t>Live-and-Work-in-Maine</t>
  </si>
  <si>
    <t>Professional Careers</t>
  </si>
  <si>
    <t>Relocation support, Mid-to-Senior level roles</t>
  </si>
  <si>
    <t>Veteran Support</t>
  </si>
  <si>
    <t>Maine Hire-A-Vet</t>
  </si>
  <si>
    <t>Industry Specific</t>
  </si>
  <si>
    <t>ConstructionJobs.com</t>
  </si>
  <si>
    <t>All Construction Roles</t>
  </si>
  <si>
    <t>Search by specific project type (Commercial, Heavy Civil, etc.)</t>
  </si>
  <si>
    <t>iHireConstruction</t>
  </si>
  <si>
    <t>Clean interface that filters out "junk" non-industry listings.</t>
  </si>
  <si>
    <t>ASCE Career Connections</t>
  </si>
  <si>
    <t>Hosted by the American Society of Civil Engineers; high-level roles.</t>
  </si>
  <si>
    <t>EngineerJobs.com</t>
  </si>
  <si>
    <t>All Engineering Disciplines</t>
  </si>
  <si>
    <t>The world’s largest dedicated engineering job board.</t>
  </si>
  <si>
    <t>Management</t>
  </si>
  <si>
    <t>CMAA Career HQ</t>
  </si>
  <si>
    <t>Focused on professionalized project management and PM certifications.</t>
  </si>
  <si>
    <t>Transportation</t>
  </si>
  <si>
    <t>AASHTO Jobs</t>
  </si>
  <si>
    <t>State Highway/DOT Roles</t>
  </si>
  <si>
    <t>The gold standard for highway and bridge engineering careers.</t>
  </si>
  <si>
    <t>ITE Hire</t>
  </si>
  <si>
    <t>Specialized in "Smart Cities," traffic flow, and urban transport.</t>
  </si>
  <si>
    <t>Infrastructure</t>
  </si>
  <si>
    <t>RoadTechs</t>
  </si>
  <si>
    <t>Focuses on large-scale infrastructure and industrial field work.</t>
  </si>
  <si>
    <t>Executive</t>
  </si>
  <si>
    <t>Michael Page Construction</t>
  </si>
  <si>
    <t>High-salary, specialized recruitment for major firms.</t>
  </si>
  <si>
    <t>Government/Public</t>
  </si>
  <si>
    <t>USAJobs.gov</t>
  </si>
  <si>
    <t>Federal Infrastructure</t>
  </si>
  <si>
    <t>Use for Army Corps of Engineers or Federal Highway Admin roles.</t>
  </si>
  <si>
    <t>Key Roles</t>
  </si>
  <si>
    <t>Sector</t>
  </si>
  <si>
    <t>BC</t>
  </si>
  <si>
    <t>HHC</t>
  </si>
  <si>
    <t>CM</t>
  </si>
  <si>
    <t>CM = Construction Managers</t>
  </si>
  <si>
    <t>HHC = Heay Highway Construction</t>
  </si>
  <si>
    <t xml:space="preserve">BC = Building Construction </t>
  </si>
  <si>
    <t xml:space="preserve">Sector </t>
  </si>
  <si>
    <t>MCCCDP</t>
  </si>
  <si>
    <t>MCCCDP = Maine Community College ConstructionDegree Programs</t>
  </si>
  <si>
    <t>CEWI = Construction &amp; Engineering Workforce Degree Program</t>
  </si>
  <si>
    <t>College/Initiative</t>
  </si>
  <si>
    <t>Program Name/Focus</t>
  </si>
  <si>
    <t>Usage</t>
  </si>
  <si>
    <t>CEWI</t>
  </si>
  <si>
    <t>4-week, tuition-free, intensive training, high-demand trades, hands-on skills, guaranteed interviews</t>
  </si>
  <si>
    <t>transfer pathway, need 30+ credits</t>
  </si>
  <si>
    <t>immediate entry</t>
  </si>
  <si>
    <t>Current workers, career changers</t>
  </si>
  <si>
    <t>HVAC specialists, Energy Efficiency specialists</t>
  </si>
  <si>
    <t>Engineering technicians, automated builders</t>
  </si>
  <si>
    <t>Level</t>
  </si>
  <si>
    <t>Entry-Level</t>
  </si>
  <si>
    <t>Experienced</t>
  </si>
  <si>
    <t>Transfer</t>
  </si>
  <si>
    <t>All Levels</t>
  </si>
  <si>
    <t xml:space="preserve">short-term, certifications, Carpentry, HVAC, Plumbing, Welding, covers cost 50-100% </t>
  </si>
  <si>
    <t>Training, Residential Energy Contractors, HVAC technicians, heat pump installers, CMCC, EMCC, WCCC, NMCC.</t>
  </si>
  <si>
    <t>$1,200, construction firms, train, safety, project management, technical skills.</t>
  </si>
  <si>
    <t>Hands-on, SMCC (Brunswick), Robotics, Hydraulics,  Electrical Simulation, training.</t>
  </si>
  <si>
    <t>Aspiring Civil Engineers, Aspiring Mechanical Engineers, Aspiring Electrical Engineers</t>
  </si>
  <si>
    <t>Key Words</t>
  </si>
  <si>
    <t>installations, power systems, lighting, communications</t>
  </si>
  <si>
    <t>finishing, interior, office spaces, retail</t>
  </si>
  <si>
    <t>insulating, commercial, boilers, pipes, HVAC</t>
  </si>
  <si>
    <t>designing, supervising, bridges, water systems, roads</t>
  </si>
  <si>
    <t>highway system, traffic flow</t>
  </si>
  <si>
    <t>operating machinery, asphalt, concrete</t>
  </si>
  <si>
    <t>bulldozers, excavators, graders, earthmoving</t>
  </si>
  <si>
    <t>repairing, roads, guardrails, highway markers</t>
  </si>
  <si>
    <t>laying pipes, storm drains, water mains, sewers</t>
  </si>
  <si>
    <t>Rebar, bridge decks, overpasses</t>
  </si>
  <si>
    <t>heavy rail, transit infrastructure</t>
  </si>
  <si>
    <t>Project Coordinators, schedules, budgeting</t>
  </si>
  <si>
    <t>managing design, managing teams</t>
  </si>
  <si>
    <t>managing maintenance</t>
  </si>
  <si>
    <t>manage, budget, schedule</t>
  </si>
  <si>
    <t>Project Managers, Superintendents, General Contractors</t>
  </si>
  <si>
    <t>elevator, escalator, multi-story, commercial</t>
  </si>
  <si>
    <t>HVAC, water supply, drainage systems, commercial</t>
  </si>
  <si>
    <t>ONET CODE</t>
  </si>
  <si>
    <t>*4500 - 5000</t>
  </si>
  <si>
    <t>*4000 - 6000</t>
  </si>
  <si>
    <t>Term Hours</t>
  </si>
  <si>
    <t>Carpentry, Electrical, on-site</t>
  </si>
  <si>
    <t xml:space="preserve">Row 9 </t>
  </si>
  <si>
    <t>row 10</t>
  </si>
  <si>
    <t>https://umaine.edu/admissions/find-a-major/construction-engineering-technology/</t>
  </si>
  <si>
    <t>https://www.uma.edu/academics/programs/architecture/</t>
  </si>
  <si>
    <t>https://www.google.com/search?q=https://mcec.umaine.edu/cie/</t>
  </si>
  <si>
    <t>https://www.google.com/search?q=https://mcec.umaine.edu/mee/</t>
  </si>
  <si>
    <t>https://mcec.umaine.edu/grads/ece/</t>
  </si>
  <si>
    <t>https://mcec.umaine.edu/set/</t>
  </si>
  <si>
    <t>https://usm.maine.edu/department-engineering/mechanical-engineering/</t>
  </si>
  <si>
    <t>https://www.google.com/search?q=https://usm.maine.edu/department-engineering/electrical-engineering/</t>
  </si>
  <si>
    <t>https://usm.maine.edu/department-engineering/industrial-engineering/</t>
  </si>
  <si>
    <t>https://www.uma.edu/academics/programs/engineering-pathways/</t>
  </si>
  <si>
    <t>https://www.cmcc.edu/academics/programs/programs-of-study/building-construction-technology/</t>
  </si>
  <si>
    <t>https://www.cmcc.edu/academics/programs/programs-of-study/hvacr/</t>
  </si>
  <si>
    <t>https://www.cmcc.edu/academics/programs/programs-of-study/plumbing-and-heating-technology/</t>
  </si>
  <si>
    <t>https://www.emcc.edu/academics/programs/programs-of-study/building-construction/</t>
  </si>
  <si>
    <t>https://www.emcc.edu/academics/programs/programs-of-study/plumbing/</t>
  </si>
  <si>
    <t>https://www.emcc.edu/academics/programs/programs-of-study/refrigeration-air-conditioning-heating/</t>
  </si>
  <si>
    <t>https://www.kvcc.me.edu/academics/programs-of-study/plumbing-heating/</t>
  </si>
  <si>
    <t>https://www.kvcc.me.edu/academics/programs-of-study/plumbing/</t>
  </si>
  <si>
    <t>https://www.nmcc.edu/academics/programs/academic-programs/building-construction-technology/</t>
  </si>
  <si>
    <t>https://www.nmcc.edu/academics/programs/academic-programs/plumbing-heating/</t>
  </si>
  <si>
    <t>https://www.smccme.edu/academics/pathways/industrial-technology-transportation/construction-technology-associate-degree/</t>
  </si>
  <si>
    <t>https://wccc.me.edu/academics/programs/programs-study/heavy-equipment-operations/</t>
  </si>
  <si>
    <t>https://wccc.me.edu/academics/programs/programs-study/heavy-equipment-maintenance/</t>
  </si>
  <si>
    <t>https://www.yccc.edu/degree/industrialweldingtechniques/</t>
  </si>
  <si>
    <t>https://buildingmaine.com/immersion-program</t>
  </si>
  <si>
    <t>https://alfondcenter.mccs.me.edu/construction</t>
  </si>
  <si>
    <t>https://legislature.maine.gov/doc/12341</t>
  </si>
  <si>
    <t>https://www.maine.gov/energy/initiatives/infrastructure/contractor-training-grants</t>
  </si>
  <si>
    <t>https://www.mccs.me.edu/workforce-training/maine-workforce-development-compact/</t>
  </si>
  <si>
    <t>https://www.smccme.edu/wp-content/uploads/2025/12/AdvancedConstruction_251203_01.pdf</t>
  </si>
  <si>
    <t>pile driving, bridge foundations, retaining walls</t>
  </si>
  <si>
    <t>Origin</t>
  </si>
  <si>
    <t>Maine</t>
  </si>
  <si>
    <t>National</t>
  </si>
  <si>
    <t>Organizations</t>
  </si>
  <si>
    <t>Focus</t>
  </si>
  <si>
    <t>Key Features</t>
  </si>
  <si>
    <t>Toll, Highway Systems</t>
  </si>
  <si>
    <t>Commercial, Heavy Civil</t>
  </si>
  <si>
    <t>Industrial,Heavy Civil</t>
  </si>
  <si>
    <t>Earthwork, Highway</t>
  </si>
  <si>
    <t>Bridges, Wind Energy</t>
  </si>
  <si>
    <t>General Trades, Management</t>
  </si>
  <si>
    <t>Management, Skilled Trades</t>
  </si>
  <si>
    <t>Civil, Structural</t>
  </si>
  <si>
    <t>Traffic Planning, Transit Planning</t>
  </si>
  <si>
    <t>Heavy Civil, Energy</t>
  </si>
  <si>
    <t>Senior PMs, Executives</t>
  </si>
  <si>
    <t>Veterans into skilled trades</t>
  </si>
  <si>
    <t>Primary Job</t>
  </si>
  <si>
    <t>Heavy Equipemnt Operator, Piperlayer, Laborers, Truck Drivers</t>
  </si>
  <si>
    <t>Laborers, Carpentry, Shop Manager, Project Superintendents</t>
  </si>
  <si>
    <t>Construction Superintendents, Carpentry, Laborers</t>
  </si>
  <si>
    <t>structural framing, building form, interior woodwork</t>
  </si>
  <si>
    <t>steel skeletons, high-rise, construction</t>
  </si>
  <si>
    <t>Utilities</t>
  </si>
  <si>
    <t>manage</t>
  </si>
  <si>
    <t>budget</t>
  </si>
  <si>
    <t>schedule</t>
  </si>
  <si>
    <t>structural framing</t>
  </si>
  <si>
    <t>building form</t>
  </si>
  <si>
    <t>interiror woodwork</t>
  </si>
  <si>
    <t>installations</t>
  </si>
  <si>
    <t>lighting</t>
  </si>
  <si>
    <t>communication</t>
  </si>
  <si>
    <t>power system</t>
  </si>
  <si>
    <t>steel skeletions</t>
  </si>
  <si>
    <t>construction</t>
  </si>
  <si>
    <t>HVAC</t>
  </si>
  <si>
    <t>water supply</t>
  </si>
  <si>
    <t>dranage system</t>
  </si>
  <si>
    <t>finishing</t>
  </si>
  <si>
    <t xml:space="preserve">interior </t>
  </si>
  <si>
    <t>insulating</t>
  </si>
  <si>
    <t>boiler</t>
  </si>
  <si>
    <t>pipe</t>
  </si>
  <si>
    <t>elevator</t>
  </si>
  <si>
    <t>escalator</t>
  </si>
  <si>
    <t>design</t>
  </si>
  <si>
    <t>supervise</t>
  </si>
  <si>
    <t>water system</t>
  </si>
  <si>
    <t>road</t>
  </si>
  <si>
    <t>highway system</t>
  </si>
  <si>
    <t>traffic flow</t>
  </si>
  <si>
    <t>operating machinery</t>
  </si>
  <si>
    <t>asphalt</t>
  </si>
  <si>
    <t>concrete</t>
  </si>
  <si>
    <t>bulldozer</t>
  </si>
  <si>
    <t>excavator</t>
  </si>
  <si>
    <t>grader</t>
  </si>
  <si>
    <t>earthmoving</t>
  </si>
  <si>
    <t>repair</t>
  </si>
  <si>
    <t>guardrail</t>
  </si>
  <si>
    <t>highway marker</t>
  </si>
  <si>
    <t xml:space="preserve">water main </t>
  </si>
  <si>
    <t>sewer</t>
  </si>
  <si>
    <t>storm drain</t>
  </si>
  <si>
    <t>pile drive</t>
  </si>
  <si>
    <t xml:space="preserve">bridge foundation </t>
  </si>
  <si>
    <t>retaining wall</t>
  </si>
  <si>
    <t>rebar</t>
  </si>
  <si>
    <t>bridge deck</t>
  </si>
  <si>
    <t>overpasses</t>
  </si>
  <si>
    <t xml:space="preserve">heavy rail </t>
  </si>
  <si>
    <t>transit infrastructure</t>
  </si>
  <si>
    <t>manager</t>
  </si>
  <si>
    <t>superintendent</t>
  </si>
  <si>
    <t>contractor</t>
  </si>
  <si>
    <t>coordinate</t>
  </si>
  <si>
    <t>bridge</t>
  </si>
  <si>
    <t>Structural</t>
  </si>
  <si>
    <t>Transport</t>
  </si>
  <si>
    <t>Heavy Equipment</t>
  </si>
  <si>
    <t>Utilites</t>
  </si>
  <si>
    <t>Infranstructure</t>
  </si>
  <si>
    <t>Related Sector</t>
  </si>
  <si>
    <t>N/A</t>
  </si>
  <si>
    <t>BC, HHC</t>
  </si>
  <si>
    <t>BC, HHC, CM</t>
  </si>
  <si>
    <t>Row Labels</t>
  </si>
  <si>
    <t>Grand Total</t>
  </si>
  <si>
    <t>Count of Term Hours</t>
  </si>
  <si>
    <t>Length</t>
  </si>
  <si>
    <t>Certificate: 28, Degree: 64</t>
  </si>
  <si>
    <t>Certificate: 33, Degree: 64</t>
  </si>
  <si>
    <t>Certificate: 32, Degree: 63</t>
  </si>
  <si>
    <t>Certificate: 33, Degree: 61</t>
  </si>
  <si>
    <t>Certifcicate: 34, Degree: 64</t>
  </si>
  <si>
    <t>Certificate: 33</t>
  </si>
  <si>
    <t>Degree: 62</t>
  </si>
  <si>
    <t>Certificate: 24</t>
  </si>
  <si>
    <t>Certificate: 29, Degree: 60</t>
  </si>
  <si>
    <t>Certificate: 27, Degree: 65</t>
  </si>
  <si>
    <t>Degree: 61</t>
  </si>
  <si>
    <t xml:space="preserve">Certificate: 34 </t>
  </si>
  <si>
    <t>Certificate: 30</t>
  </si>
  <si>
    <t>320 Hours</t>
  </si>
  <si>
    <t>4 weeks</t>
  </si>
  <si>
    <t>Varies</t>
  </si>
  <si>
    <t>Credit Hours</t>
  </si>
  <si>
    <t xml:space="preserve">Building Construction </t>
  </si>
  <si>
    <t>Misc.</t>
  </si>
  <si>
    <t>Number of Apprenticeship Opportunities</t>
  </si>
  <si>
    <t>Number of Job Titles per Sector</t>
  </si>
  <si>
    <t>Avg degree length</t>
  </si>
  <si>
    <t>Avg certificant length</t>
  </si>
  <si>
    <t>30 Credit Hours</t>
  </si>
  <si>
    <t>62 Credit Hours</t>
  </si>
  <si>
    <t>Training</t>
  </si>
  <si>
    <t>Number of Programs Available</t>
  </si>
  <si>
    <t>Bachelors</t>
  </si>
  <si>
    <t>Associates</t>
  </si>
  <si>
    <t>Transfer/Pathways</t>
  </si>
  <si>
    <t xml:space="preserve">Refrigeration </t>
  </si>
  <si>
    <t>Heavy Equipment Maitenance</t>
  </si>
  <si>
    <t>Welding</t>
  </si>
  <si>
    <t>Carpentry</t>
  </si>
  <si>
    <t xml:space="preserve">CPR/First Aid/AED </t>
  </si>
  <si>
    <t>NCCER CORE</t>
  </si>
  <si>
    <t>Hydro Facilities Maitenence</t>
  </si>
  <si>
    <t>Masonry &amp; Concrete repair</t>
  </si>
  <si>
    <t>Crane Operation</t>
  </si>
  <si>
    <t>Equipment Operation</t>
  </si>
  <si>
    <t>Heavy Equipment Mechanic</t>
  </si>
  <si>
    <t>Residential Energy</t>
  </si>
  <si>
    <t>Heat Pump Installers</t>
  </si>
  <si>
    <t>Robotics</t>
  </si>
  <si>
    <t xml:space="preserve">Hydraulics </t>
  </si>
  <si>
    <t>Electrical Simulations</t>
  </si>
  <si>
    <t>Certificates</t>
  </si>
  <si>
    <t>Apprenticeship</t>
  </si>
  <si>
    <t>Transfer/Pathway</t>
  </si>
  <si>
    <t>Construction Engineering</t>
  </si>
  <si>
    <t>Civil Engineering</t>
  </si>
  <si>
    <t>Environmental Engineering</t>
  </si>
  <si>
    <t>Electric Engineering</t>
  </si>
  <si>
    <t>Computer Engineering</t>
  </si>
  <si>
    <t>Surveying Engineering</t>
  </si>
  <si>
    <t>Electrical Engineering</t>
  </si>
  <si>
    <t>Bridge Carpenter</t>
  </si>
  <si>
    <t>Concrete Laborer</t>
  </si>
  <si>
    <t>Highway Laborer</t>
  </si>
  <si>
    <t>Equipment Operator</t>
  </si>
  <si>
    <t>Heavy Civil</t>
  </si>
  <si>
    <t>Installation Technician</t>
  </si>
  <si>
    <t>Count of Member Name</t>
  </si>
  <si>
    <t>Member List</t>
  </si>
  <si>
    <t>Current Job Openings</t>
  </si>
  <si>
    <t>Job websites</t>
  </si>
  <si>
    <t>Heavy Highway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</si>
</sst>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;[Red]\-&quot;$&quot;#,##0"/>
  </numFmts>
  <fonts count="20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  <font>
      <sz val="11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Google Sans Text"/>
    </font>
    <font>
      <sz val="12"/>
      <color rgb="FF1F1F1F"/>
      <name val="Calibri"/>
      <family val="2"/>
      <scheme val="minor"/>
    </font>
    <font>
      <sz val="11"/>
      <name val="Calibri"/>
      <family val="2"/>
    </font>
    <font>
      <sz val="12"/>
      <color theme="1"/>
      <name val="Google Sans Text"/>
      <family val="2"/>
      <charset val="1"/>
    </font>
    <font>
      <u/>
      <sz val="12"/>
      <color theme="10"/>
      <name val="Calibri"/>
      <family val="2"/>
      <scheme val="minor"/>
    </font>
    <font>
      <sz val="11"/>
      <color rgb="FF1F1F1F"/>
      <name val="Google Sans Text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2" fillId="0" borderId="0" xfId="1" applyAlignment="1">
      <alignment vertical="center"/>
    </xf>
    <xf numFmtId="0" fontId="7" fillId="0" borderId="0" xfId="0" applyFont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44" fontId="11" fillId="2" borderId="0" xfId="2" applyFont="1" applyFill="1"/>
    <xf numFmtId="0" fontId="12" fillId="2" borderId="0" xfId="0" applyFont="1" applyFill="1"/>
    <xf numFmtId="164" fontId="0" fillId="2" borderId="0" xfId="0" applyNumberFormat="1" applyFill="1"/>
    <xf numFmtId="0" fontId="4" fillId="0" borderId="0" xfId="0" applyFont="1" applyAlignment="1">
      <alignment readingOrder="1"/>
    </xf>
    <xf numFmtId="0" fontId="3" fillId="0" borderId="0" xfId="0" applyFont="1" applyAlignment="1">
      <alignment horizontal="left"/>
    </xf>
    <xf numFmtId="0" fontId="14" fillId="0" borderId="0" xfId="0" applyFont="1"/>
    <xf numFmtId="0" fontId="2" fillId="0" borderId="0" xfId="1" applyBorder="1"/>
    <xf numFmtId="0" fontId="6" fillId="0" borderId="0" xfId="0" applyFont="1"/>
    <xf numFmtId="0" fontId="5" fillId="0" borderId="0" xfId="0" applyFont="1" applyAlignment="1">
      <alignment horizontal="left" readingOrder="1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2" fillId="0" borderId="0" xfId="0" applyFont="1"/>
    <xf numFmtId="0" fontId="18" fillId="0" borderId="0" xfId="1" applyFont="1" applyBorder="1"/>
    <xf numFmtId="0" fontId="5" fillId="0" borderId="0" xfId="0" applyFont="1" applyAlignment="1">
      <alignment readingOrder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3" borderId="0" xfId="0" applyFill="1"/>
    <xf numFmtId="0" fontId="19" fillId="4" borderId="0" xfId="0" applyFont="1" applyFill="1" applyAlignment="1">
      <alignment readingOrder="1"/>
    </xf>
    <xf numFmtId="0" fontId="0" fillId="7" borderId="0" xfId="0" applyFill="1"/>
    <xf numFmtId="0" fontId="0" fillId="8" borderId="0" xfId="0" applyFill="1"/>
    <xf numFmtId="0" fontId="12" fillId="4" borderId="0" xfId="0" applyFont="1" applyFill="1" applyAlignment="1">
      <alignment horizontal="left"/>
    </xf>
    <xf numFmtId="0" fontId="0" fillId="0" borderId="0" xfId="0" pivotButton="1"/>
    <xf numFmtId="0" fontId="14" fillId="0" borderId="0" xfId="0" applyFont="1" applyAlignment="1">
      <alignment horizontal="left"/>
    </xf>
    <xf numFmtId="0" fontId="19" fillId="0" borderId="0" xfId="0" applyFont="1" applyAlignment="1">
      <alignment readingOrder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  <xf numFmtId="0" fontId="15" fillId="0" borderId="0" xfId="0" applyFont="1" applyAlignment="1">
      <alignment horizontal="left" readingOrder="1"/>
    </xf>
    <xf numFmtId="0" fontId="0" fillId="0" borderId="0" xfId="0" applyAlignment="1">
      <alignment horizontal="left"/>
    </xf>
  </cellXfs>
  <cellStyles count="3">
    <cellStyle name="Currency" xfId="2" builtinId="4"/>
    <cellStyle name="Hyperlink" xfId="1" builtinId="8"/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colors>
    <mruColors>
      <color rgb="FFF7F6CD"/>
      <color rgb="FFFFFF99"/>
      <color rgb="FFF9FBAF"/>
      <color rgb="FFF9FCD8"/>
      <color rgb="FFFFE7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Apprenticeships and</a:t>
            </a:r>
            <a:r>
              <a:rPr lang="en-US" baseline="0"/>
              <a:t> Jobs per Sector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'Construction ONet Codes'!$F$36</c:f>
              <c:strCache>
                <c:ptCount val="1"/>
                <c:pt idx="0">
                  <c:v>Number of Job Titles per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Codes'!$F$37:$F$40</c:f>
              <c:numCache>
                <c:formatCode>General</c:formatCode>
                <c:ptCount val="4"/>
                <c:pt idx="0">
                  <c:v>5</c:v>
                </c:pt>
                <c:pt idx="1">
                  <c:v>9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70-4FB5-B996-ABDCB6A79F57}"/>
            </c:ext>
          </c:extLst>
        </c:ser>
        <c:ser>
          <c:idx val="1"/>
          <c:order val="1"/>
          <c:tx>
            <c:strRef>
              <c:f>'Construction ONet Codes'!$G$36</c:f>
              <c:strCache>
                <c:ptCount val="1"/>
                <c:pt idx="0">
                  <c:v>Sector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Codes'!$G$37:$G$40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70-4FB5-B996-ABDCB6A79F57}"/>
            </c:ext>
          </c:extLst>
        </c:ser>
        <c:ser>
          <c:idx val="2"/>
          <c:order val="2"/>
          <c:tx>
            <c:strRef>
              <c:f>'Construction ONet Codes'!$H$36</c:f>
              <c:strCache>
                <c:ptCount val="1"/>
                <c:pt idx="0">
                  <c:v>Number of Apprenticeship Opportunities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'Construction ONet Codes'!$E$37:$E$40</c:f>
              <c:strCache>
                <c:ptCount val="4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  <c:pt idx="3">
                  <c:v>Misc.</c:v>
                </c:pt>
              </c:strCache>
            </c:strRef>
          </c:cat>
          <c:val>
            <c:numRef>
              <c:f>'Construction ONet Codes'!$H$37:$H$40</c:f>
              <c:numCache>
                <c:formatCode>General</c:formatCode>
                <c:ptCount val="4"/>
                <c:pt idx="0">
                  <c:v>2</c:v>
                </c:pt>
                <c:pt idx="1">
                  <c:v>10</c:v>
                </c:pt>
                <c:pt idx="2">
                  <c:v>11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70-4FB5-B996-ABDCB6A7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563967"/>
        <c:axId val="165557727"/>
      </c:barChart>
      <c:catAx>
        <c:axId val="165563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57727"/>
        <c:crosses val="autoZero"/>
        <c:auto val="1"/>
        <c:lblAlgn val="ctr"/>
        <c:lblOffset val="100"/>
        <c:noMultiLvlLbl val="0"/>
      </c:catAx>
      <c:valAx>
        <c:axId val="1655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63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'Construction ONet Codes'!$F$36</c:f>
              <c:strCache>
                <c:ptCount val="1"/>
                <c:pt idx="0">
                  <c:v>Number of Job Titles per Sector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'Construction ONet Codes'!$E$37:$E$39</c:f>
              <c:strCache>
                <c:ptCount val="3"/>
                <c:pt idx="0">
                  <c:v>Construction Managers</c:v>
                </c:pt>
                <c:pt idx="1">
                  <c:v>Heavy Highway Construction</c:v>
                </c:pt>
                <c:pt idx="2">
                  <c:v>Building Construction </c:v>
                </c:pt>
              </c:strCache>
            </c:strRef>
          </c:cat>
          <c:val>
            <c:numRef>
              <c:f>'Construction ONet Codes'!$F$37:$F$39</c:f>
              <c:numCache>
                <c:formatCode>General</c:formatCode>
                <c:ptCount val="3"/>
                <c:pt idx="0">
                  <c:v>5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0-4989-997D-48DE2485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69967"/>
        <c:axId val="129960367"/>
      </c:barChart>
      <c:catAx>
        <c:axId val="129969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Sectors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0367"/>
        <c:crosses val="autoZero"/>
        <c:auto val="1"/>
        <c:lblAlgn val="ctr"/>
        <c:lblOffset val="100"/>
        <c:noMultiLvlLbl val="0"/>
      </c:catAx>
      <c:valAx>
        <c:axId val="12996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</a:t>
                </a:r>
                <a:r>
                  <a:rPr lang="en-US" baseline="0"/>
                  <a:t> Job Titles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6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2540776228179141"/>
          <c:y val="2.7777744918045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'Community College Programs'!$E$27</c:f>
              <c:strCache>
                <c:ptCount val="1"/>
                <c:pt idx="0">
                  <c:v>Number of Programs Available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'Community College Programs'!$D$28:$D$33</c:f>
              <c:strCache>
                <c:ptCount val="6"/>
                <c:pt idx="0">
                  <c:v>Associates</c:v>
                </c:pt>
                <c:pt idx="1">
                  <c:v>Bachelors</c:v>
                </c:pt>
                <c:pt idx="2">
                  <c:v>Certificate</c:v>
                </c:pt>
                <c:pt idx="3">
                  <c:v>Training</c:v>
                </c:pt>
                <c:pt idx="4">
                  <c:v>Transfer/Pathways</c:v>
                </c:pt>
                <c:pt idx="5">
                  <c:v>Apprenticeship</c:v>
                </c:pt>
              </c:strCache>
            </c:strRef>
          </c:cat>
          <c:val>
            <c:numRef>
              <c:f>'Community College Programs'!$E$28:$E$33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5</c:v>
                </c:pt>
                <c:pt idx="4">
                  <c:v>2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2-4074-A340-515D6D9F7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4943"/>
        <c:axId val="159636383"/>
      </c:barChart>
      <c:catAx>
        <c:axId val="159634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Entry</a:t>
                </a:r>
                <a:r>
                  <a:rPr lang="en-US" baseline="0"/>
                  <a:t> Points and Opportunities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6383"/>
        <c:crosses val="autoZero"/>
        <c:auto val="1"/>
        <c:lblAlgn val="ctr"/>
        <c:lblOffset val="100"/>
        <c:noMultiLvlLbl val="0"/>
      </c:catAx>
      <c:valAx>
        <c:axId val="15963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</a:t>
                </a:r>
                <a:r>
                  <a:rPr lang="en-US" baseline="0"/>
                  <a:t> number per each catehory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3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 Drive Project Data Sources.xlsx]AGC Sponsored Apprenticeships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Hours per Apprentienceship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'AGC Sponsored Apprenticeships 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'AGC Sponsored Apprenticeships '!$A$23:$A$29</c:f>
              <c:strCache>
                <c:ptCount val="6"/>
                <c:pt idx="0">
                  <c:v>2000</c:v>
                </c:pt>
                <c:pt idx="1">
                  <c:v>4000</c:v>
                </c:pt>
                <c:pt idx="2">
                  <c:v>4750</c:v>
                </c:pt>
                <c:pt idx="3">
                  <c:v>5000</c:v>
                </c:pt>
                <c:pt idx="4">
                  <c:v>6000</c:v>
                </c:pt>
                <c:pt idx="5">
                  <c:v>8000</c:v>
                </c:pt>
              </c:strCache>
            </c:strRef>
          </c:cat>
          <c:val>
            <c:numRef>
              <c:f>'AGC Sponsored Apprenticeships '!$B$23:$B$29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93-4DFA-AB13-5658F2EFE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8522927"/>
        <c:axId val="1068521487"/>
      </c:barChart>
      <c:catAx>
        <c:axId val="1068522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Hours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21487"/>
        <c:crosses val="autoZero"/>
        <c:auto val="1"/>
        <c:lblAlgn val="ctr"/>
        <c:lblOffset val="100"/>
        <c:noMultiLvlLbl val="0"/>
      </c:catAx>
      <c:valAx>
        <c:axId val="10685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  <a:r>
                  <a:rPr lang="en-US" baseline="0"/>
                  <a:t> of Apprenticeships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522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[Career Drive Project Data Sources.xlsx]AGC Member list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Members per</a:t>
            </a:r>
            <a:r>
              <a:rPr lang="en-US" baseline="0"/>
              <a:t> Type of Member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'AGC Member list '!$H$8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'AGC Member list '!$G$9:$G$14</c:f>
              <c:strCache>
                <c:ptCount val="5"/>
                <c:pt idx="0">
                  <c:v>Developer</c:v>
                </c:pt>
                <c:pt idx="1">
                  <c:v>General Contractors</c:v>
                </c:pt>
                <c:pt idx="2">
                  <c:v>Service Providers</c:v>
                </c:pt>
                <c:pt idx="3">
                  <c:v>Specialty Contractors</c:v>
                </c:pt>
                <c:pt idx="4">
                  <c:v>Suppliers</c:v>
                </c:pt>
              </c:strCache>
            </c:strRef>
          </c:cat>
          <c:val>
            <c:numRef>
              <c:f>'AGC Member list '!$H$9:$H$14</c:f>
              <c:numCache>
                <c:formatCode>General</c:formatCode>
                <c:ptCount val="5"/>
                <c:pt idx="0">
                  <c:v>2</c:v>
                </c:pt>
                <c:pt idx="1">
                  <c:v>60</c:v>
                </c:pt>
                <c:pt idx="2">
                  <c:v>58</c:v>
                </c:pt>
                <c:pt idx="3">
                  <c:v>67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A-4C10-B1FC-66638F07D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6441824"/>
        <c:axId val="1976440864"/>
      </c:barChart>
      <c:catAx>
        <c:axId val="1976441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Member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0864"/>
        <c:crosses val="autoZero"/>
        <c:auto val="1"/>
        <c:lblAlgn val="ctr"/>
        <c:lblOffset val="100"/>
        <c:noMultiLvlLbl val="0"/>
      </c:catAx>
      <c:valAx>
        <c:axId val="197644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Member Type</a:t>
                </a:r>
              </a:p>
            </c:rich>
          </c:tx>
          <c:layout>
            <c:manualLayout>
              <c:xMode val="edge"/>
              <c:yMode val="edge"/>
              <c:x val="3.0446814079809884E-2"/>
              <c:y val="0.195293502360998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4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527956</xdr:colOff>
      <xdr:row>40</xdr:row>
      <xdr:rowOff>127906</xdr:rowOff>
    </xdr:from>
    <xdr:to>
      <xdr:col>7</xdr:col>
      <xdr:colOff>1556656</xdr:colOff>
      <xdr:row>55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D1C43A5-DDAD-375B-B98B-7482A2F58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119743</xdr:colOff>
      <xdr:row>5</xdr:row>
      <xdr:rowOff>138978</xdr:rowOff>
    </xdr:from>
    <xdr:to>
      <xdr:col>19</xdr:col>
      <xdr:colOff>321129</xdr:colOff>
      <xdr:row>36</xdr:row>
      <xdr:rowOff>67253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FB9693-872B-5E0A-821F-0248182B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9400" y="1145907"/>
          <a:ext cx="6112329" cy="5958960"/>
        </a:xfrm>
        <a:prstGeom prst="rect">
          <a:avLst/>
        </a:prstGeom>
      </xdr:spPr>
    </xdr:pic>
    <xdr:clientData/>
  </xdr:twoCellAnchor>
  <xdr:twoCellAnchor>
    <xdr:from>
      <xdr:col>3</xdr:col>
      <xdr:colOff>883783</xdr:colOff>
      <xdr:row>40</xdr:row>
      <xdr:rowOff>122464</xdr:rowOff>
    </xdr:from>
    <xdr:to>
      <xdr:col>4</xdr:col>
      <xdr:colOff>553130</xdr:colOff>
      <xdr:row>55</xdr:row>
      <xdr:rowOff>151039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EC03CA-289C-5EEB-A38C-C9F0600760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</xdr:colOff>
      <xdr:row>33</xdr:row>
      <xdr:rowOff>163286</xdr:rowOff>
    </xdr:from>
    <xdr:to>
      <xdr:col>4</xdr:col>
      <xdr:colOff>5306786</xdr:colOff>
      <xdr:row>41</xdr:row>
      <xdr:rowOff>141515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5B3E1E-3A4C-4F45-A1E2-82F30BD7C2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304800</xdr:colOff>
      <xdr:row>37</xdr:row>
      <xdr:rowOff>304800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85A52B5A-7FD7-2C09-37B8-642767A62D46}"/>
            </a:ext>
          </a:extLst>
        </xdr:cNvPr>
        <xdr:cNvSpPr>
          <a:spLocks noChangeAspect="1" noChangeArrowheads="1"/>
        </xdr:cNvSpPr>
      </xdr:nvSpPr>
      <xdr:spPr bwMode="auto">
        <a:xfrm>
          <a:off x="23066829" y="10183586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81642</xdr:colOff>
      <xdr:row>46</xdr:row>
      <xdr:rowOff>32656</xdr:rowOff>
    </xdr:from>
    <xdr:to>
      <xdr:col>11</xdr:col>
      <xdr:colOff>952575</xdr:colOff>
      <xdr:row>69</xdr:row>
      <xdr:rowOff>5644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A5A1C5-6B35-8066-9FD4-5FD74A6FB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82899" y="13422085"/>
          <a:ext cx="6629476" cy="42293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1359354</xdr:colOff>
      <xdr:row>4</xdr:row>
      <xdr:rowOff>66676</xdr:rowOff>
    </xdr:from>
    <xdr:to>
      <xdr:col>11</xdr:col>
      <xdr:colOff>266700</xdr:colOff>
      <xdr:row>24</xdr:row>
      <xdr:rowOff>130629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5BA68-C7CC-1DC4-DB0F-1294D41B1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13</xdr:row>
      <xdr:rowOff>40821</xdr:rowOff>
    </xdr:from>
    <xdr:to>
      <xdr:col>8</xdr:col>
      <xdr:colOff>1123950</xdr:colOff>
      <xdr:row>26</xdr:row>
      <xdr:rowOff>164646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3DF0CE-E73F-3E68-92F8-520434174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ramirez" refreshedDate="46106.588358333334" createdVersion="8" refreshedVersion="8" minRefreshableVersion="3" recordCount="19" xr:uid="{FDB8E2F2-4DB5-4F71-9137-AA96E5314463}">
  <cacheSource type="worksheet">
    <worksheetSource ref="C1:C20" sheet="AGC Sponsored Apprenticeships "/>
  </cacheSource>
  <cacheFields count="1">
    <cacheField name="Term Hours" numFmtId="0">
      <sharedItems containsSemiMixedTypes="0" containsString="0" containsNumber="1" containsInteger="1" minValue="2000" maxValue="8000" count="6">
        <n v="6000"/>
        <n v="4000"/>
        <n v="5000"/>
        <n v="2000"/>
        <n v="4750"/>
        <n v="8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 ramirez" refreshedDate="46113.633432870367" createdVersion="8" refreshedVersion="8" minRefreshableVersion="3" recordCount="222" xr:uid="{DE14B255-79D0-4EE8-A38A-9136E2E5AB9A}">
  <cacheSource type="worksheet">
    <worksheetSource ref="A4:B226" sheet="AGC Member list "/>
  </cacheSource>
  <cacheFields count="2">
    <cacheField name="Type" numFmtId="0">
      <sharedItems count="5">
        <s v="General Contractors"/>
        <s v="Specialty Contractors"/>
        <s v="Suppliers"/>
        <s v="Service Providers"/>
        <s v="Developer"/>
      </sharedItems>
    </cacheField>
    <cacheField name="Member Name" numFmtId="0">
      <sharedItems count="222">
        <s v="American Defense Industrial"/>
        <s v="Arthur C Dudley Contractor"/>
        <s v="Bancroft Contractor Corp"/>
        <s v="Beaupre's Construction LLC"/>
        <s v="Bedard Excavation"/>
        <s v="Bowman Constructors"/>
        <s v="C. M. Cimino, Inc"/>
        <s v="Carl Huston Excavation"/>
        <s v="CCB, Inc"/>
        <s v="CEM DP Porter Contractor"/>
        <s v="Cianbro Corporation"/>
        <s v="Coastal Maine General Contracting"/>
        <s v="Consigli Construction"/>
        <s v="CPM Constructors"/>
        <s v="Crooker Construction, LLC"/>
        <s v="Dearborn Brothers Construction"/>
        <s v="Doten's Construction"/>
        <s v="E. W. Littlefield Inc. &amp; Sons"/>
        <s v="Ed Pelletier &amp; Sons Co."/>
        <s v="Emery Lee &amp; Sons, Inc."/>
        <s v="Eurovia Atlantic Coast, LLC"/>
        <s v="Gendron Corp."/>
        <s v="Great Falls Construction"/>
        <s v="H. B. Fleming, Inc"/>
        <s v="H. E. Callahan Construction Co"/>
        <s v="Hahnel Bros. Inc."/>
        <s v="Hanscom Construction Corp"/>
        <s v="Harold MacQuinn, Inc"/>
        <s v="Hebert Construction"/>
        <s v="Homes of Acadia"/>
        <s v="J Pratt Construction"/>
        <s v="Knowles Industrial Services"/>
        <s v="Lajoie Brothers Inc."/>
        <s v="Landry/French Construction"/>
        <s v="Langford &amp; Low, Inc"/>
        <s v="Maine Design Build"/>
        <s v="Maine Earth"/>
        <s v="McGee Construction"/>
        <s v="N.M. Curtis Earthworks"/>
        <s v="Nickerson &amp; O'Day, Inc"/>
        <s v="Northern Closure Constrution"/>
        <s v="Optimum Inc."/>
        <s v="Ouellet Construction"/>
        <s v="Patco Construction, Inc"/>
        <s v="PC Construction, Inc "/>
        <s v="Penobscot General Contractors"/>
        <s v="Pike Industries, Inc"/>
        <s v="PNM Construction Inc."/>
        <s v="Pratt &amp; Sons, Inc"/>
        <s v="R. J. Grondin &amp; Sons, Inc"/>
        <s v="Ranger Contracting"/>
        <s v="Reed &amp; Reed, Inc"/>
        <s v="Sargent Corporation"/>
        <s v="Scott Construction Corporation"/>
        <s v="Shaw Brothers Construction, Inc"/>
        <s v="Shaw Earthworks, Inc"/>
        <s v="The Lander Group"/>
        <s v="Turner Construction Company"/>
        <s v="Wright-Ryan Construction, Inc"/>
        <s v="Wyman &amp; Simpson, Inc"/>
        <s v="A.D. Electric &amp; Directional Boring"/>
        <s v="A.H. Grover, Inc"/>
        <s v="ABM Mechanical, Inc"/>
        <s v="Acadia Painting"/>
        <s v="Aceto Earthworks, LLC"/>
        <s v="American Aerial Services, Inc"/>
        <s v="Atlantic Power Constructors"/>
        <s v="Badger Daylighting Corp "/>
        <s v="Bark Bros, Inc."/>
        <s v="Black Bear Crane"/>
        <s v="Bonneau &amp; Son Excavation"/>
        <s v="Built by Terry"/>
        <s v="C. A. Newcomb &amp; Sons"/>
        <s v="Carver Carpentry &amp; Excavation"/>
        <s v="Chase Excavating Inc."/>
        <s v="CMI Concrete Professionals"/>
        <s v="Comprehensive Land Technologies"/>
        <s v="Copiam Asphalt Solutions"/>
        <s v="Cote Crane &amp; Rigging"/>
        <s v="Coutts Bros"/>
        <s v="Curtis Construction, LLC"/>
        <s v="Dirigo Materials"/>
        <s v="Double R Crane"/>
        <s v="E. S. Boulos Company"/>
        <s v="Fadden Chipping &amp; Logging, Inc."/>
        <s v="FMG Enterprises of New England Inc."/>
        <s v="Gaftek, Inc."/>
        <s v="Glidden Excavating &amp; Paving"/>
        <s v="Gorham Sand &amp; Gravel, Inc"/>
        <s v="Hawkes Tree Service"/>
        <s v="Hird Contracting"/>
        <s v="Hughes Bros, Inc"/>
        <s v="J McLaughlin Construction LLC"/>
        <s v="Keeley Electrical Contractors"/>
        <s v="Louth Callan Renewables"/>
        <s v="Main Line Fence Co., Inc"/>
        <s v="Maine Drilling &amp; Blasting"/>
        <s v="Mancini Electric, Inc"/>
        <s v="Mariner Construction"/>
        <s v="Marston Industrial Services"/>
        <s v="Moulison Heavy Electrical"/>
        <s v="N. S. Giles, Inc"/>
        <s v="National Firestopping Solutions"/>
        <s v="NES/NIS/NSS"/>
        <s v="Northern Electric Inc."/>
        <s v="Ossipee Garage Doors"/>
        <s v="Pine Tree Fence"/>
        <s v="Prashaw Construction LLC"/>
        <s v="Quirion"/>
        <s v="Ray Labbe &amp; Sons, Inc"/>
        <s v="ReVision Energy"/>
        <s v="Sanderfoot Wind &amp; Excavating, Inc."/>
        <s v="Sargent Electric Company"/>
        <s v="SC Excavation"/>
        <s v="Schiavi Leasing"/>
        <s v="Seal Tight Waterproofing &amp; Fire Stopping"/>
        <s v="Sitelines PA"/>
        <s v="Soderberg Company, Inc"/>
        <s v="South Branch Concrete Construction LLC"/>
        <s v="Standard Waterproofing, Inc"/>
        <s v="Starrett Snow &amp; Landscape Services"/>
        <s v="Storey Brothers, Inc."/>
        <s v="Thirsty Turf Irrigation, Inc"/>
        <s v="Thompson's Tree Service, LLC"/>
        <s v="Underwood Electric"/>
        <s v="Vortex Companies"/>
        <s v="Woods Excavating, LLC"/>
        <s v="Advanced Drainage Systems, Inc."/>
        <s v="American Concrete Industries, Inc."/>
        <s v="Anderson Equipment"/>
        <s v="Auburn Concrete"/>
        <s v="Black Bear Ladder"/>
        <s v="Casco Bay Ford"/>
        <s v="Chadwick-BaRoss, Inc"/>
        <s v="Core and Main"/>
        <s v="EquipmentShare"/>
        <s v="Everett J Prescott, Inc"/>
        <s v="Ferguson Waterworks"/>
        <s v="Gagne &amp; Son Concrete Block"/>
        <s v="Graybar Electric Co. Inc."/>
        <s v="Haley's Inc."/>
        <s v="Hammond Lumber Company"/>
        <s v="Hews Company, LLC"/>
        <s v="Huber Engineered Woods, LLC"/>
        <s v="Maine Commercial Tire"/>
        <s v="Maine Metal Buildings"/>
        <s v="Maine Trailer, Inc."/>
        <s v="Mainely Construction Rentals"/>
        <s v="Milton CAT"/>
        <s v="Milton Rents"/>
        <s v="NEFCO Corp"/>
        <s v="O'Connor Motors"/>
        <s v="Owen J. Folsom Inc."/>
        <s v="Precast Concrete of Maine"/>
        <s v="Shawmut Equipment Company, Inc"/>
        <s v="Summit Utilities, Inc."/>
        <s v="Trask-Decrow Machinery"/>
        <s v="Triumph Modular"/>
        <s v="United Construction &amp; Forestry"/>
        <s v="United Rentals "/>
        <s v="Ware-Butler Building Supply"/>
        <s v="White Cap"/>
        <s v="Acadia Benefits"/>
        <s v="Acorn Engineering, Inc."/>
        <s v="Albin, Randall &amp; Bennett"/>
        <s v="Androscoggin Bank"/>
        <s v="Bangor Savings Bank"/>
        <s v="Berkley Surety"/>
        <s v="Bernstein Shur"/>
        <s v="BET Consulting"/>
        <s v="Birnco Solutions"/>
        <s v="Burdick Training &amp; Consulting"/>
        <s v="Camden National Bank"/>
        <s v="Clark Insurance"/>
        <s v="Contractors Risk Management"/>
        <s v="Cornerstone Government Affairs"/>
        <s v="Cross Insurance"/>
        <s v="Cross Surety"/>
        <s v="Crum &amp; Forster Insurance"/>
        <s v="CW Hayden"/>
        <s v="Dirigo Architectural Engineering"/>
        <s v="EMC Insurance"/>
        <s v="Frankenmuth Surety"/>
        <s v="Gallagher"/>
        <s v="Haley Ward, Inc."/>
        <s v="HEC + A"/>
        <s v="John Turner Consulting"/>
        <s v="L &amp; D Safety Marking Corporation"/>
        <s v="Lebel &amp; Harriman"/>
        <s v="Machias Savings Bank"/>
        <s v="Maine Imaging"/>
        <s v="Maine Turnpike Authority"/>
        <s v="Maine Works, LLC "/>
        <s v="NAWIC Maine"/>
        <s v="Northeast Safety Inc."/>
        <s v="Project Staffing, Inc./Project Flagging, Inc."/>
        <s v="ProMark Utility Locating, LLC"/>
        <s v="R.W. Gillespie &amp; Associates Inc."/>
        <s v="Resource Options, Inc."/>
        <s v="S. W. Cole Engineering, Inc"/>
        <s v="Seaboard Drilling, LLC"/>
        <s v="Sebago Technics, Inc."/>
        <s v="Skillings-Shaw &amp; Associates, Inc."/>
        <s v="Skowhegan Savings Bank"/>
        <s v="Sompo International"/>
        <s v="SoulBeing"/>
        <s v="Sparrow Energy Group"/>
        <s v="Splane Insurance Group"/>
        <s v="Tenna"/>
        <s v="The Baldwin Group"/>
        <s v="Total Construction Management, Inc"/>
        <s v="Travelers"/>
        <s v="United Insurance"/>
        <s v="United Surety"/>
        <s v="USI Insurance Services"/>
        <s v="VHB"/>
        <s v="Varney Insurance Agency"/>
        <s v="Verrill Law"/>
        <s v="Walton External Affairs"/>
        <s v="Wellness Workdays"/>
        <s v="Longroad Energy"/>
        <s v="Perennial Renewabl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</r>
  <r>
    <x v="1"/>
  </r>
  <r>
    <x v="2"/>
  </r>
  <r>
    <x v="3"/>
  </r>
  <r>
    <x v="3"/>
  </r>
  <r>
    <x v="0"/>
  </r>
  <r>
    <x v="1"/>
  </r>
  <r>
    <x v="4"/>
  </r>
  <r>
    <x v="2"/>
  </r>
  <r>
    <x v="3"/>
  </r>
  <r>
    <x v="5"/>
  </r>
  <r>
    <x v="1"/>
  </r>
  <r>
    <x v="3"/>
  </r>
  <r>
    <x v="3"/>
  </r>
  <r>
    <x v="1"/>
  </r>
  <r>
    <x v="0"/>
  </r>
  <r>
    <x v="1"/>
  </r>
  <r>
    <x v="3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1"/>
    <x v="60"/>
  </r>
  <r>
    <x v="1"/>
    <x v="61"/>
  </r>
  <r>
    <x v="1"/>
    <x v="62"/>
  </r>
  <r>
    <x v="1"/>
    <x v="63"/>
  </r>
  <r>
    <x v="1"/>
    <x v="64"/>
  </r>
  <r>
    <x v="1"/>
    <x v="65"/>
  </r>
  <r>
    <x v="1"/>
    <x v="66"/>
  </r>
  <r>
    <x v="1"/>
    <x v="67"/>
  </r>
  <r>
    <x v="1"/>
    <x v="68"/>
  </r>
  <r>
    <x v="1"/>
    <x v="69"/>
  </r>
  <r>
    <x v="1"/>
    <x v="70"/>
  </r>
  <r>
    <x v="1"/>
    <x v="71"/>
  </r>
  <r>
    <x v="1"/>
    <x v="72"/>
  </r>
  <r>
    <x v="1"/>
    <x v="73"/>
  </r>
  <r>
    <x v="1"/>
    <x v="74"/>
  </r>
  <r>
    <x v="1"/>
    <x v="75"/>
  </r>
  <r>
    <x v="1"/>
    <x v="76"/>
  </r>
  <r>
    <x v="1"/>
    <x v="77"/>
  </r>
  <r>
    <x v="1"/>
    <x v="78"/>
  </r>
  <r>
    <x v="1"/>
    <x v="79"/>
  </r>
  <r>
    <x v="1"/>
    <x v="80"/>
  </r>
  <r>
    <x v="1"/>
    <x v="81"/>
  </r>
  <r>
    <x v="1"/>
    <x v="82"/>
  </r>
  <r>
    <x v="1"/>
    <x v="83"/>
  </r>
  <r>
    <x v="1"/>
    <x v="84"/>
  </r>
  <r>
    <x v="1"/>
    <x v="85"/>
  </r>
  <r>
    <x v="1"/>
    <x v="86"/>
  </r>
  <r>
    <x v="1"/>
    <x v="87"/>
  </r>
  <r>
    <x v="1"/>
    <x v="88"/>
  </r>
  <r>
    <x v="1"/>
    <x v="89"/>
  </r>
  <r>
    <x v="1"/>
    <x v="90"/>
  </r>
  <r>
    <x v="1"/>
    <x v="91"/>
  </r>
  <r>
    <x v="1"/>
    <x v="92"/>
  </r>
  <r>
    <x v="1"/>
    <x v="93"/>
  </r>
  <r>
    <x v="1"/>
    <x v="94"/>
  </r>
  <r>
    <x v="1"/>
    <x v="95"/>
  </r>
  <r>
    <x v="1"/>
    <x v="96"/>
  </r>
  <r>
    <x v="1"/>
    <x v="97"/>
  </r>
  <r>
    <x v="1"/>
    <x v="98"/>
  </r>
  <r>
    <x v="1"/>
    <x v="99"/>
  </r>
  <r>
    <x v="1"/>
    <x v="100"/>
  </r>
  <r>
    <x v="1"/>
    <x v="101"/>
  </r>
  <r>
    <x v="1"/>
    <x v="102"/>
  </r>
  <r>
    <x v="1"/>
    <x v="103"/>
  </r>
  <r>
    <x v="1"/>
    <x v="104"/>
  </r>
  <r>
    <x v="1"/>
    <x v="105"/>
  </r>
  <r>
    <x v="1"/>
    <x v="106"/>
  </r>
  <r>
    <x v="1"/>
    <x v="107"/>
  </r>
  <r>
    <x v="1"/>
    <x v="108"/>
  </r>
  <r>
    <x v="1"/>
    <x v="109"/>
  </r>
  <r>
    <x v="1"/>
    <x v="110"/>
  </r>
  <r>
    <x v="1"/>
    <x v="111"/>
  </r>
  <r>
    <x v="1"/>
    <x v="112"/>
  </r>
  <r>
    <x v="1"/>
    <x v="113"/>
  </r>
  <r>
    <x v="1"/>
    <x v="114"/>
  </r>
  <r>
    <x v="1"/>
    <x v="115"/>
  </r>
  <r>
    <x v="1"/>
    <x v="116"/>
  </r>
  <r>
    <x v="1"/>
    <x v="117"/>
  </r>
  <r>
    <x v="1"/>
    <x v="118"/>
  </r>
  <r>
    <x v="1"/>
    <x v="119"/>
  </r>
  <r>
    <x v="1"/>
    <x v="120"/>
  </r>
  <r>
    <x v="1"/>
    <x v="121"/>
  </r>
  <r>
    <x v="1"/>
    <x v="122"/>
  </r>
  <r>
    <x v="1"/>
    <x v="123"/>
  </r>
  <r>
    <x v="1"/>
    <x v="124"/>
  </r>
  <r>
    <x v="1"/>
    <x v="125"/>
  </r>
  <r>
    <x v="1"/>
    <x v="126"/>
  </r>
  <r>
    <x v="2"/>
    <x v="127"/>
  </r>
  <r>
    <x v="2"/>
    <x v="128"/>
  </r>
  <r>
    <x v="2"/>
    <x v="129"/>
  </r>
  <r>
    <x v="2"/>
    <x v="130"/>
  </r>
  <r>
    <x v="2"/>
    <x v="131"/>
  </r>
  <r>
    <x v="2"/>
    <x v="132"/>
  </r>
  <r>
    <x v="2"/>
    <x v="133"/>
  </r>
  <r>
    <x v="2"/>
    <x v="134"/>
  </r>
  <r>
    <x v="2"/>
    <x v="135"/>
  </r>
  <r>
    <x v="2"/>
    <x v="136"/>
  </r>
  <r>
    <x v="2"/>
    <x v="137"/>
  </r>
  <r>
    <x v="2"/>
    <x v="138"/>
  </r>
  <r>
    <x v="2"/>
    <x v="139"/>
  </r>
  <r>
    <x v="2"/>
    <x v="140"/>
  </r>
  <r>
    <x v="2"/>
    <x v="141"/>
  </r>
  <r>
    <x v="2"/>
    <x v="142"/>
  </r>
  <r>
    <x v="2"/>
    <x v="143"/>
  </r>
  <r>
    <x v="2"/>
    <x v="144"/>
  </r>
  <r>
    <x v="2"/>
    <x v="145"/>
  </r>
  <r>
    <x v="2"/>
    <x v="146"/>
  </r>
  <r>
    <x v="2"/>
    <x v="147"/>
  </r>
  <r>
    <x v="2"/>
    <x v="148"/>
  </r>
  <r>
    <x v="2"/>
    <x v="149"/>
  </r>
  <r>
    <x v="2"/>
    <x v="150"/>
  </r>
  <r>
    <x v="2"/>
    <x v="151"/>
  </r>
  <r>
    <x v="2"/>
    <x v="152"/>
  </r>
  <r>
    <x v="2"/>
    <x v="153"/>
  </r>
  <r>
    <x v="2"/>
    <x v="154"/>
  </r>
  <r>
    <x v="2"/>
    <x v="155"/>
  </r>
  <r>
    <x v="2"/>
    <x v="156"/>
  </r>
  <r>
    <x v="2"/>
    <x v="157"/>
  </r>
  <r>
    <x v="2"/>
    <x v="158"/>
  </r>
  <r>
    <x v="2"/>
    <x v="159"/>
  </r>
  <r>
    <x v="2"/>
    <x v="160"/>
  </r>
  <r>
    <x v="2"/>
    <x v="161"/>
  </r>
  <r>
    <x v="3"/>
    <x v="162"/>
  </r>
  <r>
    <x v="3"/>
    <x v="163"/>
  </r>
  <r>
    <x v="3"/>
    <x v="164"/>
  </r>
  <r>
    <x v="3"/>
    <x v="165"/>
  </r>
  <r>
    <x v="3"/>
    <x v="166"/>
  </r>
  <r>
    <x v="3"/>
    <x v="167"/>
  </r>
  <r>
    <x v="3"/>
    <x v="168"/>
  </r>
  <r>
    <x v="3"/>
    <x v="169"/>
  </r>
  <r>
    <x v="3"/>
    <x v="170"/>
  </r>
  <r>
    <x v="3"/>
    <x v="171"/>
  </r>
  <r>
    <x v="3"/>
    <x v="172"/>
  </r>
  <r>
    <x v="3"/>
    <x v="173"/>
  </r>
  <r>
    <x v="3"/>
    <x v="174"/>
  </r>
  <r>
    <x v="3"/>
    <x v="175"/>
  </r>
  <r>
    <x v="3"/>
    <x v="176"/>
  </r>
  <r>
    <x v="3"/>
    <x v="177"/>
  </r>
  <r>
    <x v="3"/>
    <x v="178"/>
  </r>
  <r>
    <x v="3"/>
    <x v="179"/>
  </r>
  <r>
    <x v="3"/>
    <x v="180"/>
  </r>
  <r>
    <x v="3"/>
    <x v="181"/>
  </r>
  <r>
    <x v="3"/>
    <x v="182"/>
  </r>
  <r>
    <x v="3"/>
    <x v="183"/>
  </r>
  <r>
    <x v="3"/>
    <x v="184"/>
  </r>
  <r>
    <x v="3"/>
    <x v="185"/>
  </r>
  <r>
    <x v="3"/>
    <x v="186"/>
  </r>
  <r>
    <x v="3"/>
    <x v="187"/>
  </r>
  <r>
    <x v="3"/>
    <x v="188"/>
  </r>
  <r>
    <x v="3"/>
    <x v="189"/>
  </r>
  <r>
    <x v="3"/>
    <x v="190"/>
  </r>
  <r>
    <x v="3"/>
    <x v="191"/>
  </r>
  <r>
    <x v="3"/>
    <x v="192"/>
  </r>
  <r>
    <x v="3"/>
    <x v="193"/>
  </r>
  <r>
    <x v="3"/>
    <x v="194"/>
  </r>
  <r>
    <x v="3"/>
    <x v="195"/>
  </r>
  <r>
    <x v="3"/>
    <x v="196"/>
  </r>
  <r>
    <x v="3"/>
    <x v="197"/>
  </r>
  <r>
    <x v="3"/>
    <x v="198"/>
  </r>
  <r>
    <x v="3"/>
    <x v="199"/>
  </r>
  <r>
    <x v="3"/>
    <x v="200"/>
  </r>
  <r>
    <x v="3"/>
    <x v="201"/>
  </r>
  <r>
    <x v="3"/>
    <x v="202"/>
  </r>
  <r>
    <x v="3"/>
    <x v="203"/>
  </r>
  <r>
    <x v="3"/>
    <x v="204"/>
  </r>
  <r>
    <x v="3"/>
    <x v="205"/>
  </r>
  <r>
    <x v="3"/>
    <x v="206"/>
  </r>
  <r>
    <x v="3"/>
    <x v="207"/>
  </r>
  <r>
    <x v="3"/>
    <x v="208"/>
  </r>
  <r>
    <x v="3"/>
    <x v="209"/>
  </r>
  <r>
    <x v="3"/>
    <x v="210"/>
  </r>
  <r>
    <x v="3"/>
    <x v="211"/>
  </r>
  <r>
    <x v="3"/>
    <x v="212"/>
  </r>
  <r>
    <x v="3"/>
    <x v="213"/>
  </r>
  <r>
    <x v="3"/>
    <x v="214"/>
  </r>
  <r>
    <x v="3"/>
    <x v="215"/>
  </r>
  <r>
    <x v="3"/>
    <x v="216"/>
  </r>
  <r>
    <x v="3"/>
    <x v="217"/>
  </r>
  <r>
    <x v="3"/>
    <x v="218"/>
  </r>
  <r>
    <x v="3"/>
    <x v="219"/>
  </r>
  <r>
    <x v="4"/>
    <x v="220"/>
  </r>
  <r>
    <x v="4"/>
    <x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2974E-E9B9-4540-AC0C-88CE6446131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2:B29" firstHeaderRow="1" firstDataRow="1" firstDataCol="1"/>
  <pivotFields count="1">
    <pivotField axis="axisRow" dataField="1" showAll="0">
      <items count="7">
        <item x="3"/>
        <item x="1"/>
        <item x="4"/>
        <item x="2"/>
        <item x="0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erm Hour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40CD3-C91E-4BC4-A75B-CA54C948DC94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G8:H14" firstHeaderRow="1" firstDataRow="1" firstDataCol="1"/>
  <pivotFields count="2">
    <pivotField axis="axisRow" showAll="0">
      <items count="6">
        <item x="4"/>
        <item x="0"/>
        <item x="3"/>
        <item x="1"/>
        <item x="2"/>
        <item t="default"/>
      </items>
    </pivotField>
    <pivotField dataField="1" showAll="0">
      <items count="223">
        <item x="60"/>
        <item x="61"/>
        <item x="62"/>
        <item x="162"/>
        <item x="63"/>
        <item x="64"/>
        <item x="163"/>
        <item x="127"/>
        <item x="164"/>
        <item x="65"/>
        <item x="128"/>
        <item x="0"/>
        <item x="129"/>
        <item x="165"/>
        <item x="1"/>
        <item x="66"/>
        <item x="130"/>
        <item x="67"/>
        <item x="2"/>
        <item x="166"/>
        <item x="68"/>
        <item x="3"/>
        <item x="4"/>
        <item x="167"/>
        <item x="168"/>
        <item x="169"/>
        <item x="170"/>
        <item x="69"/>
        <item x="131"/>
        <item x="70"/>
        <item x="5"/>
        <item x="71"/>
        <item x="171"/>
        <item x="72"/>
        <item x="6"/>
        <item x="172"/>
        <item x="7"/>
        <item x="73"/>
        <item x="132"/>
        <item x="8"/>
        <item x="9"/>
        <item x="133"/>
        <item x="74"/>
        <item x="10"/>
        <item x="173"/>
        <item x="75"/>
        <item x="11"/>
        <item x="76"/>
        <item x="12"/>
        <item x="174"/>
        <item x="77"/>
        <item x="134"/>
        <item x="175"/>
        <item x="78"/>
        <item x="79"/>
        <item x="13"/>
        <item x="14"/>
        <item x="176"/>
        <item x="177"/>
        <item x="178"/>
        <item x="80"/>
        <item x="179"/>
        <item x="15"/>
        <item x="180"/>
        <item x="81"/>
        <item x="16"/>
        <item x="82"/>
        <item x="83"/>
        <item x="17"/>
        <item x="18"/>
        <item x="181"/>
        <item x="19"/>
        <item x="135"/>
        <item x="20"/>
        <item x="136"/>
        <item x="84"/>
        <item x="137"/>
        <item x="85"/>
        <item x="182"/>
        <item x="86"/>
        <item x="138"/>
        <item x="183"/>
        <item x="21"/>
        <item x="87"/>
        <item x="88"/>
        <item x="139"/>
        <item x="22"/>
        <item x="23"/>
        <item x="24"/>
        <item x="25"/>
        <item x="184"/>
        <item x="140"/>
        <item x="141"/>
        <item x="26"/>
        <item x="27"/>
        <item x="89"/>
        <item x="28"/>
        <item x="185"/>
        <item x="142"/>
        <item x="90"/>
        <item x="29"/>
        <item x="143"/>
        <item x="91"/>
        <item x="92"/>
        <item x="30"/>
        <item x="186"/>
        <item x="93"/>
        <item x="31"/>
        <item x="187"/>
        <item x="32"/>
        <item x="33"/>
        <item x="34"/>
        <item x="188"/>
        <item x="220"/>
        <item x="94"/>
        <item x="189"/>
        <item x="95"/>
        <item x="144"/>
        <item x="35"/>
        <item x="96"/>
        <item x="36"/>
        <item x="190"/>
        <item x="145"/>
        <item x="146"/>
        <item x="191"/>
        <item x="192"/>
        <item x="147"/>
        <item x="97"/>
        <item x="98"/>
        <item x="99"/>
        <item x="37"/>
        <item x="148"/>
        <item x="149"/>
        <item x="100"/>
        <item x="101"/>
        <item x="38"/>
        <item x="102"/>
        <item x="193"/>
        <item x="150"/>
        <item x="103"/>
        <item x="39"/>
        <item x="194"/>
        <item x="40"/>
        <item x="104"/>
        <item x="151"/>
        <item x="41"/>
        <item x="105"/>
        <item x="42"/>
        <item x="152"/>
        <item x="43"/>
        <item x="44"/>
        <item x="45"/>
        <item x="221"/>
        <item x="46"/>
        <item x="106"/>
        <item x="47"/>
        <item x="107"/>
        <item x="48"/>
        <item x="153"/>
        <item x="195"/>
        <item x="196"/>
        <item x="108"/>
        <item x="49"/>
        <item x="197"/>
        <item x="50"/>
        <item x="109"/>
        <item x="51"/>
        <item x="198"/>
        <item x="110"/>
        <item x="199"/>
        <item x="111"/>
        <item x="52"/>
        <item x="112"/>
        <item x="113"/>
        <item x="114"/>
        <item x="53"/>
        <item x="200"/>
        <item x="115"/>
        <item x="201"/>
        <item x="54"/>
        <item x="55"/>
        <item x="154"/>
        <item x="116"/>
        <item x="202"/>
        <item x="203"/>
        <item x="117"/>
        <item x="204"/>
        <item x="205"/>
        <item x="118"/>
        <item x="206"/>
        <item x="207"/>
        <item x="119"/>
        <item x="120"/>
        <item x="121"/>
        <item x="155"/>
        <item x="208"/>
        <item x="209"/>
        <item x="56"/>
        <item x="122"/>
        <item x="123"/>
        <item x="210"/>
        <item x="156"/>
        <item x="211"/>
        <item x="157"/>
        <item x="57"/>
        <item x="124"/>
        <item x="158"/>
        <item x="212"/>
        <item x="159"/>
        <item x="213"/>
        <item x="214"/>
        <item x="216"/>
        <item x="217"/>
        <item x="215"/>
        <item x="125"/>
        <item x="218"/>
        <item x="160"/>
        <item x="219"/>
        <item x="161"/>
        <item x="126"/>
        <item x="58"/>
        <item x="59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mber Nam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mcc.edu/academics/programs/programs-of-study/refrigeration-air-conditioning-heating/" TargetMode="External"/><Relationship Id="rId13" Type="http://schemas.openxmlformats.org/officeDocument/2006/relationships/hyperlink" Target="https://www.smccme.edu/academics/pathways/industrial-technology-transportation/construction-technology-associate-degree/" TargetMode="External"/><Relationship Id="rId18" Type="http://schemas.openxmlformats.org/officeDocument/2006/relationships/hyperlink" Target="https://legislature.maine.gov/doc/12341" TargetMode="External"/><Relationship Id="rId3" Type="http://schemas.openxmlformats.org/officeDocument/2006/relationships/hyperlink" Target="https://www.cmcc.edu/academics/programs/programs-of-study/hvacr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alfondcenter.mccs.me.edu/construction" TargetMode="External"/><Relationship Id="rId12" Type="http://schemas.openxmlformats.org/officeDocument/2006/relationships/hyperlink" Target="https://www.nmcc.edu/academics/programs/academic-programs/plumbing-heating/" TargetMode="External"/><Relationship Id="rId17" Type="http://schemas.openxmlformats.org/officeDocument/2006/relationships/hyperlink" Target="https://buildingmaine.com/immersion-program" TargetMode="External"/><Relationship Id="rId2" Type="http://schemas.openxmlformats.org/officeDocument/2006/relationships/hyperlink" Target="https://www.cmcc.edu/academics/programs/programs-of-study/building-construction-technology/" TargetMode="External"/><Relationship Id="rId16" Type="http://schemas.openxmlformats.org/officeDocument/2006/relationships/hyperlink" Target="https://www.yccc.edu/degree/industrialweldingtechniques/" TargetMode="External"/><Relationship Id="rId20" Type="http://schemas.openxmlformats.org/officeDocument/2006/relationships/hyperlink" Target="https://www.mccs.me.edu/workforce-training/maine-workforce-development-compact/" TargetMode="External"/><Relationship Id="rId1" Type="http://schemas.openxmlformats.org/officeDocument/2006/relationships/hyperlink" Target="https://www.smccme.edu/wp-content/uploads/2025/12/AdvancedConstruction_251203_01.pdf" TargetMode="External"/><Relationship Id="rId6" Type="http://schemas.openxmlformats.org/officeDocument/2006/relationships/hyperlink" Target="https://www.emcc.edu/academics/programs/programs-of-study/plumbing/" TargetMode="External"/><Relationship Id="rId11" Type="http://schemas.openxmlformats.org/officeDocument/2006/relationships/hyperlink" Target="https://www.nmcc.edu/academics/programs/academic-programs/building-construction-technology/" TargetMode="External"/><Relationship Id="rId5" Type="http://schemas.openxmlformats.org/officeDocument/2006/relationships/hyperlink" Target="https://www.emcc.edu/academics/programs/programs-of-study/building-construction/" TargetMode="External"/><Relationship Id="rId15" Type="http://schemas.openxmlformats.org/officeDocument/2006/relationships/hyperlink" Target="https://wccc.me.edu/academics/programs/programs-study/heavy-equipment-maintenance/" TargetMode="External"/><Relationship Id="rId10" Type="http://schemas.openxmlformats.org/officeDocument/2006/relationships/hyperlink" Target="https://www.kvcc.me.edu/academics/programs-of-study/plumbing/" TargetMode="External"/><Relationship Id="rId19" Type="http://schemas.openxmlformats.org/officeDocument/2006/relationships/hyperlink" Target="https://www.maine.gov/energy/initiatives/infrastructure/contractor-training-grants" TargetMode="External"/><Relationship Id="rId4" Type="http://schemas.openxmlformats.org/officeDocument/2006/relationships/hyperlink" Target="https://www.cmcc.edu/academics/programs/programs-of-study/plumbing-and-heating-technology/" TargetMode="External"/><Relationship Id="rId9" Type="http://schemas.openxmlformats.org/officeDocument/2006/relationships/hyperlink" Target="https://www.kvcc.me.edu/academics/programs-of-study/plumbing-heating/" TargetMode="External"/><Relationship Id="rId14" Type="http://schemas.openxmlformats.org/officeDocument/2006/relationships/hyperlink" Target="https://wccc.me.edu/academics/programs/programs-study/heavy-equipment-operations/" TargetMode="External"/><Relationship Id="rId22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usm.maine.edu/department-engineering/electrical-engineering/" TargetMode="External"/><Relationship Id="rId13" Type="http://schemas.openxmlformats.org/officeDocument/2006/relationships/hyperlink" Target="https://www.uma.edu/academics/programs/engineering-pathways/" TargetMode="External"/><Relationship Id="rId3" Type="http://schemas.openxmlformats.org/officeDocument/2006/relationships/hyperlink" Target="https://www.google.com/search?q=https://mcec.umaine.edu/cie/" TargetMode="External"/><Relationship Id="rId7" Type="http://schemas.openxmlformats.org/officeDocument/2006/relationships/hyperlink" Target="https://usm.maine.edu/department-engineering/mechanical-engineering/" TargetMode="External"/><Relationship Id="rId12" Type="http://schemas.openxmlformats.org/officeDocument/2006/relationships/hyperlink" Target="https://www.uma.edu/academics/programs/architecture/" TargetMode="External"/><Relationship Id="rId2" Type="http://schemas.openxmlformats.org/officeDocument/2006/relationships/hyperlink" Target="https://www.uma.edu/academics/programs/architecture/" TargetMode="External"/><Relationship Id="rId1" Type="http://schemas.openxmlformats.org/officeDocument/2006/relationships/hyperlink" Target="https://go.umaine.edu/find-a-major/construction-engineering-technology/" TargetMode="External"/><Relationship Id="rId6" Type="http://schemas.openxmlformats.org/officeDocument/2006/relationships/hyperlink" Target="https://mcec.umaine.edu/set/" TargetMode="External"/><Relationship Id="rId11" Type="http://schemas.openxmlformats.org/officeDocument/2006/relationships/hyperlink" Target="https://umaine.edu/admissions/find-a-major/construction-engineering-technology/" TargetMode="External"/><Relationship Id="rId5" Type="http://schemas.openxmlformats.org/officeDocument/2006/relationships/hyperlink" Target="https://mcec.umaine.edu/ece/" TargetMode="External"/><Relationship Id="rId10" Type="http://schemas.openxmlformats.org/officeDocument/2006/relationships/hyperlink" Target="https://www.uma.edu/academics/programs/engineering-pathways/" TargetMode="External"/><Relationship Id="rId4" Type="http://schemas.openxmlformats.org/officeDocument/2006/relationships/hyperlink" Target="https://www.google.com/search?q=https://mcec.umaine.edu/mee/" TargetMode="External"/><Relationship Id="rId9" Type="http://schemas.openxmlformats.org/officeDocument/2006/relationships/hyperlink" Target="https://usm.maine.edu/department-engineering/industrial-engineerin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electriclight.net/careers" TargetMode="External"/><Relationship Id="rId18" Type="http://schemas.openxmlformats.org/officeDocument/2006/relationships/hyperlink" Target="https://www.gcmaine.com/contact-us/employment/" TargetMode="External"/><Relationship Id="rId26" Type="http://schemas.openxmlformats.org/officeDocument/2006/relationships/hyperlink" Target="https://landryfrenchconstruction.com/careers/" TargetMode="External"/><Relationship Id="rId39" Type="http://schemas.openxmlformats.org/officeDocument/2006/relationships/hyperlink" Target="https://www.rangerconstruction.com/careers/" TargetMode="External"/><Relationship Id="rId21" Type="http://schemas.openxmlformats.org/officeDocument/2006/relationships/hyperlink" Target="https://www.hagarenterprises.com/employment" TargetMode="External"/><Relationship Id="rId34" Type="http://schemas.openxmlformats.org/officeDocument/2006/relationships/hyperlink" Target="https://pikeindustries.com/careers/" TargetMode="External"/><Relationship Id="rId42" Type="http://schemas.openxmlformats.org/officeDocument/2006/relationships/hyperlink" Target="https://www.scottcon.com/" TargetMode="External"/><Relationship Id="rId47" Type="http://schemas.openxmlformats.org/officeDocument/2006/relationships/hyperlink" Target="https://www.wymansimpsoninc.com/employment" TargetMode="External"/><Relationship Id="rId7" Type="http://schemas.openxmlformats.org/officeDocument/2006/relationships/hyperlink" Target="https://www.cpmconstructors.com/job-openings" TargetMode="External"/><Relationship Id="rId2" Type="http://schemas.openxmlformats.org/officeDocument/2006/relationships/hyperlink" Target="https://www.blanecasey.com/about-us/careers/" TargetMode="External"/><Relationship Id="rId16" Type="http://schemas.openxmlformats.org/officeDocument/2006/relationships/hyperlink" Target="https://vaughndthibodeau.com/employment-application-2/" TargetMode="External"/><Relationship Id="rId29" Type="http://schemas.openxmlformats.org/officeDocument/2006/relationships/hyperlink" Target="https://mcgeeconstruction.com/careers" TargetMode="External"/><Relationship Id="rId1" Type="http://schemas.openxmlformats.org/officeDocument/2006/relationships/hyperlink" Target="http://ahgrover.com/employment/" TargetMode="External"/><Relationship Id="rId6" Type="http://schemas.openxmlformats.org/officeDocument/2006/relationships/hyperlink" Target="https://apply.workable.com/consigli-construction-1/?lng=en" TargetMode="External"/><Relationship Id="rId11" Type="http://schemas.openxmlformats.org/officeDocument/2006/relationships/hyperlink" Target="https://users.neo.registeredsite.com/2/3/3/17486332/assets/Employee_Application.pdf" TargetMode="External"/><Relationship Id="rId24" Type="http://schemas.openxmlformats.org/officeDocument/2006/relationships/hyperlink" Target="https://www.hughesbrosinc.com/construction-employment" TargetMode="External"/><Relationship Id="rId32" Type="http://schemas.openxmlformats.org/officeDocument/2006/relationships/hyperlink" Target="https://neinfrastructure.com/employment/" TargetMode="External"/><Relationship Id="rId37" Type="http://schemas.openxmlformats.org/officeDocument/2006/relationships/hyperlink" Target="https://rfjordanandsons.com/employment" TargetMode="External"/><Relationship Id="rId40" Type="http://schemas.openxmlformats.org/officeDocument/2006/relationships/hyperlink" Target="https://reed-reed.com/jobs/" TargetMode="External"/><Relationship Id="rId45" Type="http://schemas.openxmlformats.org/officeDocument/2006/relationships/hyperlink" Target="https://soderbergconstruction.com/employment-application/" TargetMode="External"/><Relationship Id="rId5" Type="http://schemas.openxmlformats.org/officeDocument/2006/relationships/hyperlink" Target="https://coastalroadrepair.com/employment/" TargetMode="External"/><Relationship Id="rId15" Type="http://schemas.openxmlformats.org/officeDocument/2006/relationships/hyperlink" Target="https://gendroncorp.com/application/" TargetMode="External"/><Relationship Id="rId23" Type="http://schemas.openxmlformats.org/officeDocument/2006/relationships/hyperlink" Target="https://www.hopkinslandscapes.com/PDF/employment-app.pdf" TargetMode="External"/><Relationship Id="rId28" Type="http://schemas.openxmlformats.org/officeDocument/2006/relationships/hyperlink" Target="https://www.maineearth.com/Job-Opportunities/" TargetMode="External"/><Relationship Id="rId36" Type="http://schemas.openxmlformats.org/officeDocument/2006/relationships/hyperlink" Target="http://www.prockmarinecompany.com/wp-content/uploads/2012/10/Employment-Application.pdf" TargetMode="External"/><Relationship Id="rId10" Type="http://schemas.openxmlformats.org/officeDocument/2006/relationships/hyperlink" Target="https://www.cemmaine.com/apply-now" TargetMode="External"/><Relationship Id="rId19" Type="http://schemas.openxmlformats.org/officeDocument/2006/relationships/hyperlink" Target="https://www.gsgravel.com/careers/?srsltid=AfmBOopciLdC3eminrn4Ga5WctfzpOVpwnNOYMf93EHCtdQmhL66heTo" TargetMode="External"/><Relationship Id="rId31" Type="http://schemas.openxmlformats.org/officeDocument/2006/relationships/hyperlink" Target="https://www.moulison.com/career-opportunities" TargetMode="External"/><Relationship Id="rId44" Type="http://schemas.openxmlformats.org/officeDocument/2006/relationships/hyperlink" Target="https://www.sheridanconstruction.com/careers/" TargetMode="External"/><Relationship Id="rId4" Type="http://schemas.openxmlformats.org/officeDocument/2006/relationships/hyperlink" Target="https://www.cianbro.com/careers-list" TargetMode="External"/><Relationship Id="rId9" Type="http://schemas.openxmlformats.org/officeDocument/2006/relationships/hyperlink" Target="https://dearborn-brothers-construction.engagedtas.com/job/769641/multiple-positions" TargetMode="External"/><Relationship Id="rId14" Type="http://schemas.openxmlformats.org/officeDocument/2006/relationships/hyperlink" Target="https://www.gannestonconstruction.com/careers/" TargetMode="External"/><Relationship Id="rId22" Type="http://schemas.openxmlformats.org/officeDocument/2006/relationships/hyperlink" Target="https://hecallahan.com/employment/" TargetMode="External"/><Relationship Id="rId27" Type="http://schemas.openxmlformats.org/officeDocument/2006/relationships/hyperlink" Target="https://langfordandlow.com/careers/" TargetMode="External"/><Relationship Id="rId30" Type="http://schemas.openxmlformats.org/officeDocument/2006/relationships/hyperlink" Target="https://mcgillaninc.com/employment/" TargetMode="External"/><Relationship Id="rId35" Type="http://schemas.openxmlformats.org/officeDocument/2006/relationships/hyperlink" Target="http://prattandsons.net/apply-online/" TargetMode="External"/><Relationship Id="rId43" Type="http://schemas.openxmlformats.org/officeDocument/2006/relationships/hyperlink" Target="https://www.shawbrothers.com/careers/" TargetMode="External"/><Relationship Id="rId48" Type="http://schemas.openxmlformats.org/officeDocument/2006/relationships/printerSettings" Target="../printerSettings/printerSettings2.bin"/><Relationship Id="rId8" Type="http://schemas.openxmlformats.org/officeDocument/2006/relationships/hyperlink" Target="https://crookerconstruction.com/current-opportunities/" TargetMode="External"/><Relationship Id="rId3" Type="http://schemas.openxmlformats.org/officeDocument/2006/relationships/hyperlink" Target="https://bowmanconstructors.com/careers-at-bowman/" TargetMode="External"/><Relationship Id="rId12" Type="http://schemas.openxmlformats.org/officeDocument/2006/relationships/hyperlink" Target="https://elvining.com/careers-at-el-vining.html" TargetMode="External"/><Relationship Id="rId17" Type="http://schemas.openxmlformats.org/officeDocument/2006/relationships/hyperlink" Target="https://gliddenpaving.com/employment" TargetMode="External"/><Relationship Id="rId25" Type="http://schemas.openxmlformats.org/officeDocument/2006/relationships/hyperlink" Target="https://knowlesindustrial.com/join-our-team-2/" TargetMode="External"/><Relationship Id="rId33" Type="http://schemas.openxmlformats.org/officeDocument/2006/relationships/hyperlink" Target="https://www.nickoday.com/careers" TargetMode="External"/><Relationship Id="rId38" Type="http://schemas.openxmlformats.org/officeDocument/2006/relationships/hyperlink" Target="https://rjgrondin.com/careers/?gad_source=1&amp;gad_campaignid=21338448452&amp;gbraid=0AAAAABd1HVYvwWX-eVpW9OeU2ZpQhD2IT&amp;gclid=CjwKCAiAqKbMBhBmEiwAZ3UboJ2DbNtRw0qfB20v2mnzzdKQDsRE-7aseEQlOk-Rn6oArZEOG9FqexoCWJIQAvD_BwE" TargetMode="External"/><Relationship Id="rId46" Type="http://schemas.openxmlformats.org/officeDocument/2006/relationships/hyperlink" Target="https://tbuckconstruction.com/careers" TargetMode="External"/><Relationship Id="rId20" Type="http://schemas.openxmlformats.org/officeDocument/2006/relationships/hyperlink" Target="https://greatfallsinc.com/careers/" TargetMode="External"/><Relationship Id="rId41" Type="http://schemas.openxmlformats.org/officeDocument/2006/relationships/hyperlink" Target="https://sargent.us/careers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aine.wd5.myworkdayjobs.com/Executive?q=Department+of+Transportatio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6248-5036-451B-89CD-88B56E8D952E}">
  <dimension ref="A1:O46"/>
  <sheetViews>
    <sheetView workbookViewId="0">
      <selection activeCell="D25" sqref="D25"/>
    </sheetView>
  </sheetViews>
  <sheetFormatPr defaultRowHeight="14.6"/>
  <cols>
    <col min="1" max="1" width="12.23046875" customWidth="1"/>
    <col min="2" max="2" width="16.921875" customWidth="1"/>
    <col min="3" max="3" width="16.07421875" customWidth="1"/>
    <col min="4" max="4" width="69.15234375" customWidth="1"/>
    <col min="5" max="5" width="16.61328125" customWidth="1"/>
    <col min="6" max="6" width="16.69140625" customWidth="1"/>
    <col min="7" max="7" width="16.765625" customWidth="1"/>
    <col min="8" max="8" width="28" customWidth="1"/>
    <col min="9" max="9" width="21.921875" customWidth="1"/>
    <col min="10" max="10" width="22.61328125" customWidth="1"/>
    <col min="11" max="11" width="16.53515625" customWidth="1"/>
    <col min="12" max="12" width="18.921875" customWidth="1"/>
  </cols>
  <sheetData>
    <row r="1" spans="1:15" ht="15.9">
      <c r="A1" s="18" t="s">
        <v>493</v>
      </c>
      <c r="B1" s="18" t="s">
        <v>543</v>
      </c>
      <c r="C1" s="18" t="s">
        <v>131</v>
      </c>
      <c r="D1" s="18" t="s">
        <v>492</v>
      </c>
      <c r="E1" s="18" t="s">
        <v>524</v>
      </c>
      <c r="F1" s="18"/>
      <c r="G1" s="18"/>
      <c r="H1" s="18"/>
      <c r="I1" t="s">
        <v>690</v>
      </c>
      <c r="J1" t="s">
        <v>739</v>
      </c>
      <c r="K1" t="s">
        <v>1</v>
      </c>
      <c r="L1" s="18"/>
      <c r="M1" t="s">
        <v>690</v>
      </c>
      <c r="N1" t="s">
        <v>739</v>
      </c>
      <c r="O1" t="s">
        <v>1</v>
      </c>
    </row>
    <row r="2" spans="1:15" ht="15.9">
      <c r="A2" s="18" t="s">
        <v>494</v>
      </c>
      <c r="B2" s="18" t="s">
        <v>0</v>
      </c>
      <c r="C2" s="39" t="s">
        <v>1</v>
      </c>
      <c r="D2" s="39" t="s">
        <v>2</v>
      </c>
      <c r="E2" s="18" t="s">
        <v>539</v>
      </c>
      <c r="F2" s="18"/>
      <c r="G2" s="18"/>
      <c r="H2" s="18"/>
      <c r="I2" s="24" t="s">
        <v>606</v>
      </c>
      <c r="J2" s="24" t="s">
        <v>628</v>
      </c>
      <c r="K2" s="24" t="s">
        <v>655</v>
      </c>
      <c r="M2" s="24" t="s">
        <v>473</v>
      </c>
      <c r="N2" s="24" t="s">
        <v>473</v>
      </c>
      <c r="O2" s="24" t="s">
        <v>473</v>
      </c>
    </row>
    <row r="3" spans="1:15" ht="15.9">
      <c r="A3" s="18" t="s">
        <v>494</v>
      </c>
      <c r="B3" s="18" t="s">
        <v>3</v>
      </c>
      <c r="C3" s="39" t="s">
        <v>4</v>
      </c>
      <c r="D3" s="39" t="s">
        <v>5</v>
      </c>
      <c r="E3" s="18" t="s">
        <v>603</v>
      </c>
      <c r="F3" s="18"/>
      <c r="G3" s="18"/>
      <c r="H3" s="11"/>
      <c r="I3" s="28" t="s">
        <v>607</v>
      </c>
      <c r="J3" s="24" t="s">
        <v>629</v>
      </c>
      <c r="K3" s="31" t="s">
        <v>656</v>
      </c>
      <c r="M3" s="25" t="s">
        <v>660</v>
      </c>
      <c r="N3" s="29" t="s">
        <v>662</v>
      </c>
    </row>
    <row r="4" spans="1:15" ht="15.9">
      <c r="A4" s="18" t="s">
        <v>494</v>
      </c>
      <c r="B4" s="18" t="s">
        <v>6</v>
      </c>
      <c r="C4" s="39" t="s">
        <v>7</v>
      </c>
      <c r="D4" s="39" t="s">
        <v>8</v>
      </c>
      <c r="E4" s="18" t="s">
        <v>525</v>
      </c>
      <c r="F4" s="18"/>
      <c r="G4" s="18"/>
      <c r="I4" s="24" t="s">
        <v>608</v>
      </c>
      <c r="J4" s="30" t="s">
        <v>659</v>
      </c>
      <c r="K4" s="24" t="s">
        <v>657</v>
      </c>
      <c r="M4" s="26" t="s">
        <v>661</v>
      </c>
      <c r="N4" s="27" t="s">
        <v>663</v>
      </c>
    </row>
    <row r="5" spans="1:15" ht="15.9">
      <c r="A5" s="18" t="s">
        <v>494</v>
      </c>
      <c r="B5" s="18" t="s">
        <v>9</v>
      </c>
      <c r="C5" s="39" t="s">
        <v>10</v>
      </c>
      <c r="D5" s="39" t="s">
        <v>11</v>
      </c>
      <c r="E5" s="18" t="s">
        <v>604</v>
      </c>
      <c r="F5" s="18"/>
      <c r="G5" s="18"/>
      <c r="I5" s="25" t="s">
        <v>609</v>
      </c>
      <c r="J5" s="27" t="s">
        <v>630</v>
      </c>
      <c r="K5" s="24" t="s">
        <v>608</v>
      </c>
      <c r="M5" s="27" t="s">
        <v>605</v>
      </c>
      <c r="N5" s="30" t="s">
        <v>664</v>
      </c>
    </row>
    <row r="6" spans="1:15" ht="15.9">
      <c r="A6" s="18" t="s">
        <v>494</v>
      </c>
      <c r="B6" s="18" t="s">
        <v>12</v>
      </c>
      <c r="C6" s="39" t="s">
        <v>13</v>
      </c>
      <c r="D6" s="39" t="s">
        <v>14</v>
      </c>
      <c r="E6" s="18" t="s">
        <v>542</v>
      </c>
      <c r="F6" s="18"/>
      <c r="G6" s="18"/>
      <c r="I6" s="25" t="s">
        <v>610</v>
      </c>
      <c r="J6" s="30" t="s">
        <v>631</v>
      </c>
      <c r="K6" s="24" t="s">
        <v>607</v>
      </c>
    </row>
    <row r="7" spans="1:15" ht="15.9">
      <c r="A7" s="18" t="s">
        <v>494</v>
      </c>
      <c r="B7" s="18" t="s">
        <v>15</v>
      </c>
      <c r="C7" s="39" t="s">
        <v>16</v>
      </c>
      <c r="D7" s="39" t="s">
        <v>17</v>
      </c>
      <c r="E7" s="18" t="s">
        <v>526</v>
      </c>
      <c r="F7" s="18"/>
      <c r="G7" s="18"/>
      <c r="I7" s="25" t="s">
        <v>611</v>
      </c>
      <c r="J7" s="30" t="s">
        <v>632</v>
      </c>
      <c r="K7" s="24" t="s">
        <v>658</v>
      </c>
    </row>
    <row r="8" spans="1:15" ht="15.9">
      <c r="A8" s="18" t="s">
        <v>494</v>
      </c>
      <c r="B8" s="18" t="s">
        <v>18</v>
      </c>
      <c r="C8" s="39" t="s">
        <v>19</v>
      </c>
      <c r="D8" s="39" t="s">
        <v>20</v>
      </c>
      <c r="E8" s="18" t="s">
        <v>527</v>
      </c>
      <c r="F8" s="18"/>
      <c r="G8" s="18"/>
      <c r="I8" s="27" t="s">
        <v>612</v>
      </c>
      <c r="J8" s="30" t="s">
        <v>633</v>
      </c>
      <c r="K8" s="24" t="s">
        <v>628</v>
      </c>
    </row>
    <row r="9" spans="1:15" ht="15.9">
      <c r="A9" s="18" t="s">
        <v>494</v>
      </c>
      <c r="B9" s="18" t="s">
        <v>21</v>
      </c>
      <c r="C9" s="39" t="s">
        <v>22</v>
      </c>
      <c r="D9" s="39" t="s">
        <v>23</v>
      </c>
      <c r="E9" s="18" t="s">
        <v>541</v>
      </c>
      <c r="F9" s="18"/>
      <c r="G9" s="18"/>
      <c r="I9" s="27" t="s">
        <v>615</v>
      </c>
      <c r="J9" s="29" t="s">
        <v>634</v>
      </c>
    </row>
    <row r="10" spans="1:15" ht="15.9">
      <c r="A10" s="18" t="s">
        <v>495</v>
      </c>
      <c r="B10" s="39" t="s">
        <v>24</v>
      </c>
      <c r="C10" s="39" t="s">
        <v>25</v>
      </c>
      <c r="D10" s="39" t="s">
        <v>26</v>
      </c>
      <c r="E10" s="18" t="s">
        <v>528</v>
      </c>
      <c r="F10" s="18"/>
      <c r="G10" s="18"/>
      <c r="I10" s="27" t="s">
        <v>613</v>
      </c>
      <c r="J10" s="30" t="s">
        <v>635</v>
      </c>
    </row>
    <row r="11" spans="1:15" ht="15.9">
      <c r="A11" s="18" t="s">
        <v>495</v>
      </c>
      <c r="B11" s="39" t="s">
        <v>27</v>
      </c>
      <c r="C11" s="39" t="s">
        <v>28</v>
      </c>
      <c r="D11" s="39" t="s">
        <v>29</v>
      </c>
      <c r="E11" s="18" t="s">
        <v>529</v>
      </c>
      <c r="F11" s="18"/>
      <c r="G11" s="18"/>
      <c r="I11" s="27" t="s">
        <v>614</v>
      </c>
      <c r="J11" s="30" t="s">
        <v>636</v>
      </c>
    </row>
    <row r="12" spans="1:15" ht="15.9">
      <c r="A12" s="18" t="s">
        <v>495</v>
      </c>
      <c r="B12" s="39" t="s">
        <v>30</v>
      </c>
      <c r="C12" s="39" t="s">
        <v>31</v>
      </c>
      <c r="D12" s="39" t="s">
        <v>32</v>
      </c>
      <c r="E12" s="18" t="s">
        <v>530</v>
      </c>
      <c r="F12" s="18"/>
      <c r="G12" s="18"/>
      <c r="I12" s="25" t="s">
        <v>616</v>
      </c>
      <c r="J12" s="29" t="s">
        <v>637</v>
      </c>
    </row>
    <row r="13" spans="1:15" ht="15.9">
      <c r="A13" s="18" t="s">
        <v>495</v>
      </c>
      <c r="B13" s="39" t="s">
        <v>33</v>
      </c>
      <c r="C13" s="39" t="s">
        <v>34</v>
      </c>
      <c r="D13" s="39" t="s">
        <v>35</v>
      </c>
      <c r="E13" s="18" t="s">
        <v>531</v>
      </c>
      <c r="F13" s="18"/>
      <c r="G13" s="18"/>
      <c r="I13" s="25" t="s">
        <v>617</v>
      </c>
      <c r="J13" s="29" t="s">
        <v>638</v>
      </c>
    </row>
    <row r="14" spans="1:15" ht="15.9">
      <c r="A14" s="18" t="s">
        <v>495</v>
      </c>
      <c r="B14" s="39" t="s">
        <v>36</v>
      </c>
      <c r="C14" s="39" t="s">
        <v>37</v>
      </c>
      <c r="D14" s="39" t="s">
        <v>38</v>
      </c>
      <c r="E14" s="18" t="s">
        <v>532</v>
      </c>
      <c r="F14" s="18"/>
      <c r="G14" s="18"/>
      <c r="I14" s="27" t="s">
        <v>618</v>
      </c>
      <c r="J14" s="29" t="s">
        <v>639</v>
      </c>
    </row>
    <row r="15" spans="1:15" ht="15.9">
      <c r="A15" s="18" t="s">
        <v>495</v>
      </c>
      <c r="B15" s="39" t="s">
        <v>39</v>
      </c>
      <c r="C15" s="39" t="s">
        <v>40</v>
      </c>
      <c r="D15" s="39" t="s">
        <v>41</v>
      </c>
      <c r="E15" s="18" t="s">
        <v>533</v>
      </c>
      <c r="F15" s="18"/>
      <c r="G15" s="18"/>
      <c r="I15" s="27" t="s">
        <v>619</v>
      </c>
      <c r="J15" s="29" t="s">
        <v>640</v>
      </c>
    </row>
    <row r="16" spans="1:15" ht="15.9">
      <c r="A16" s="18" t="s">
        <v>495</v>
      </c>
      <c r="B16" s="39" t="s">
        <v>42</v>
      </c>
      <c r="C16" s="39" t="s">
        <v>43</v>
      </c>
      <c r="D16" s="39" t="s">
        <v>44</v>
      </c>
      <c r="E16" s="18" t="s">
        <v>580</v>
      </c>
      <c r="F16" s="18"/>
      <c r="G16" s="18"/>
      <c r="I16" s="27" t="s">
        <v>620</v>
      </c>
      <c r="J16" s="30" t="s">
        <v>641</v>
      </c>
    </row>
    <row r="17" spans="1:10" ht="15.9">
      <c r="A17" s="18" t="s">
        <v>495</v>
      </c>
      <c r="B17" s="39" t="s">
        <v>45</v>
      </c>
      <c r="C17" s="39" t="s">
        <v>46</v>
      </c>
      <c r="D17" s="39" t="s">
        <v>47</v>
      </c>
      <c r="E17" s="18" t="s">
        <v>534</v>
      </c>
      <c r="F17" s="18"/>
      <c r="G17" s="18"/>
      <c r="I17" s="25" t="s">
        <v>621</v>
      </c>
      <c r="J17" s="30" t="s">
        <v>631</v>
      </c>
    </row>
    <row r="18" spans="1:10" ht="15.9">
      <c r="A18" s="18" t="s">
        <v>495</v>
      </c>
      <c r="B18" s="39" t="s">
        <v>48</v>
      </c>
      <c r="C18" s="39" t="s">
        <v>49</v>
      </c>
      <c r="D18" s="39" t="s">
        <v>50</v>
      </c>
      <c r="E18" s="18" t="s">
        <v>535</v>
      </c>
      <c r="F18" s="18"/>
      <c r="G18" s="18"/>
      <c r="I18" s="25" t="s">
        <v>622</v>
      </c>
      <c r="J18" s="30" t="s">
        <v>642</v>
      </c>
    </row>
    <row r="19" spans="1:10" ht="15.9">
      <c r="A19" s="18" t="s">
        <v>496</v>
      </c>
      <c r="B19" s="39" t="s">
        <v>0</v>
      </c>
      <c r="C19" s="39" t="s">
        <v>1</v>
      </c>
      <c r="D19" s="39" t="s">
        <v>51</v>
      </c>
      <c r="E19" s="18" t="s">
        <v>540</v>
      </c>
      <c r="F19" s="18"/>
      <c r="G19" s="18"/>
      <c r="I19" s="27" t="s">
        <v>623</v>
      </c>
      <c r="J19" s="30" t="s">
        <v>643</v>
      </c>
    </row>
    <row r="20" spans="1:10" ht="15.9">
      <c r="A20" s="18" t="s">
        <v>496</v>
      </c>
      <c r="B20" s="39" t="s">
        <v>52</v>
      </c>
      <c r="C20" s="39" t="s">
        <v>53</v>
      </c>
      <c r="D20" s="39" t="s">
        <v>54</v>
      </c>
      <c r="E20" s="18" t="s">
        <v>547</v>
      </c>
      <c r="F20" s="18"/>
      <c r="G20" s="18"/>
      <c r="I20" s="27" t="s">
        <v>624</v>
      </c>
      <c r="J20" s="27" t="s">
        <v>625</v>
      </c>
    </row>
    <row r="21" spans="1:10" ht="15.9">
      <c r="A21" s="18" t="s">
        <v>496</v>
      </c>
      <c r="B21" s="39" t="s">
        <v>55</v>
      </c>
      <c r="C21" s="39" t="s">
        <v>56</v>
      </c>
      <c r="D21" s="39" t="s">
        <v>57</v>
      </c>
      <c r="E21" s="18" t="s">
        <v>536</v>
      </c>
      <c r="F21" s="18"/>
      <c r="G21" s="18"/>
      <c r="I21" s="27" t="s">
        <v>625</v>
      </c>
      <c r="J21" s="27" t="s">
        <v>646</v>
      </c>
    </row>
    <row r="22" spans="1:10" ht="15.9">
      <c r="A22" s="18" t="s">
        <v>496</v>
      </c>
      <c r="B22" s="39" t="s">
        <v>58</v>
      </c>
      <c r="C22" s="39" t="s">
        <v>59</v>
      </c>
      <c r="D22" s="39" t="s">
        <v>60</v>
      </c>
      <c r="E22" s="18" t="s">
        <v>537</v>
      </c>
      <c r="F22" s="18"/>
      <c r="G22" s="18"/>
      <c r="H22" s="18"/>
      <c r="I22" s="26" t="s">
        <v>626</v>
      </c>
      <c r="J22" s="27" t="s">
        <v>644</v>
      </c>
    </row>
    <row r="23" spans="1:10" ht="15.9">
      <c r="A23" s="18" t="s">
        <v>496</v>
      </c>
      <c r="B23" s="39" t="s">
        <v>61</v>
      </c>
      <c r="C23" s="39" t="s">
        <v>62</v>
      </c>
      <c r="D23" s="39" t="s">
        <v>63</v>
      </c>
      <c r="E23" s="18" t="s">
        <v>538</v>
      </c>
      <c r="F23" s="18"/>
      <c r="G23" s="18"/>
      <c r="H23" s="18"/>
      <c r="I23" s="26" t="s">
        <v>627</v>
      </c>
      <c r="J23" s="27" t="s">
        <v>645</v>
      </c>
    </row>
    <row r="24" spans="1:10">
      <c r="A24" s="17"/>
      <c r="B24" s="17"/>
      <c r="C24" s="17"/>
      <c r="D24" s="17"/>
      <c r="E24" s="17"/>
      <c r="F24" s="17"/>
      <c r="G24" s="17"/>
      <c r="J24" s="30" t="s">
        <v>647</v>
      </c>
    </row>
    <row r="25" spans="1:10">
      <c r="A25" s="40"/>
      <c r="B25" s="40"/>
      <c r="C25" s="40"/>
      <c r="D25" s="17"/>
      <c r="E25" s="17"/>
      <c r="J25" s="30" t="s">
        <v>648</v>
      </c>
    </row>
    <row r="26" spans="1:10">
      <c r="D26" s="17"/>
      <c r="E26" s="17"/>
      <c r="J26" s="30" t="s">
        <v>649</v>
      </c>
    </row>
    <row r="27" spans="1:10">
      <c r="A27" s="19" t="s">
        <v>130</v>
      </c>
      <c r="B27" s="19" t="s">
        <v>131</v>
      </c>
      <c r="D27" s="17" t="s">
        <v>665</v>
      </c>
      <c r="E27" s="17"/>
      <c r="J27" s="30" t="s">
        <v>650</v>
      </c>
    </row>
    <row r="28" spans="1:10">
      <c r="A28" s="12">
        <v>595</v>
      </c>
      <c r="B28" s="12" t="s">
        <v>132</v>
      </c>
      <c r="D28" s="17" t="s">
        <v>666</v>
      </c>
      <c r="E28" s="17"/>
      <c r="J28" s="30" t="s">
        <v>651</v>
      </c>
    </row>
    <row r="29" spans="1:10">
      <c r="A29" s="12">
        <v>90380</v>
      </c>
      <c r="B29" s="12" t="s">
        <v>133</v>
      </c>
      <c r="C29" s="16"/>
      <c r="D29" s="17" t="s">
        <v>495</v>
      </c>
      <c r="E29" s="17"/>
      <c r="J29" s="30" t="s">
        <v>652</v>
      </c>
    </row>
    <row r="30" spans="1:10">
      <c r="A30" s="12">
        <v>90415</v>
      </c>
      <c r="B30" s="12" t="s">
        <v>134</v>
      </c>
      <c r="C30" s="16"/>
      <c r="D30" s="17" t="s">
        <v>494</v>
      </c>
      <c r="E30" s="17"/>
      <c r="J30" s="30" t="s">
        <v>653</v>
      </c>
    </row>
    <row r="31" spans="1:10">
      <c r="A31" s="12">
        <v>90708</v>
      </c>
      <c r="B31" s="12" t="s">
        <v>135</v>
      </c>
      <c r="C31" s="16"/>
      <c r="D31" s="17" t="s">
        <v>495</v>
      </c>
      <c r="E31" s="17"/>
      <c r="J31" s="30" t="s">
        <v>654</v>
      </c>
    </row>
    <row r="32" spans="1:10">
      <c r="A32" s="12">
        <v>90699</v>
      </c>
      <c r="B32" s="12" t="s">
        <v>136</v>
      </c>
      <c r="D32" s="17" t="s">
        <v>495</v>
      </c>
    </row>
    <row r="33" spans="1:9">
      <c r="A33" s="12">
        <v>90050</v>
      </c>
      <c r="B33" s="12" t="s">
        <v>137</v>
      </c>
      <c r="D33" s="17" t="s">
        <v>495</v>
      </c>
    </row>
    <row r="34" spans="1:9">
      <c r="A34" s="12">
        <v>91055</v>
      </c>
      <c r="B34" s="12" t="s">
        <v>138</v>
      </c>
      <c r="D34" s="17" t="s">
        <v>668</v>
      </c>
    </row>
    <row r="35" spans="1:9">
      <c r="A35" s="12">
        <v>90885</v>
      </c>
      <c r="B35" s="12" t="s">
        <v>139</v>
      </c>
      <c r="D35" s="17" t="s">
        <v>667</v>
      </c>
      <c r="E35" s="17"/>
      <c r="F35" s="17"/>
      <c r="I35" s="34"/>
    </row>
    <row r="36" spans="1:9">
      <c r="A36" s="12">
        <v>90949</v>
      </c>
      <c r="B36" s="12" t="s">
        <v>140</v>
      </c>
      <c r="D36" s="17" t="s">
        <v>667</v>
      </c>
      <c r="E36" s="17" t="s">
        <v>493</v>
      </c>
      <c r="F36" s="17" t="s">
        <v>693</v>
      </c>
      <c r="G36" s="17" t="s">
        <v>493</v>
      </c>
      <c r="H36" s="17" t="s">
        <v>692</v>
      </c>
    </row>
    <row r="37" spans="1:9">
      <c r="A37" s="12">
        <v>90966</v>
      </c>
      <c r="B37" s="12" t="s">
        <v>141</v>
      </c>
      <c r="D37" s="17" t="s">
        <v>495</v>
      </c>
      <c r="E37" t="s">
        <v>1</v>
      </c>
      <c r="F37" s="17">
        <v>5</v>
      </c>
      <c r="G37" t="s">
        <v>1</v>
      </c>
      <c r="H37" s="17">
        <v>2</v>
      </c>
    </row>
    <row r="38" spans="1:9">
      <c r="A38" s="12">
        <v>90046</v>
      </c>
      <c r="B38" s="12" t="s">
        <v>142</v>
      </c>
      <c r="D38" s="17" t="s">
        <v>494</v>
      </c>
      <c r="E38" t="s">
        <v>739</v>
      </c>
      <c r="F38" s="17">
        <v>9</v>
      </c>
      <c r="G38" t="s">
        <v>739</v>
      </c>
      <c r="H38" s="17">
        <v>10</v>
      </c>
    </row>
    <row r="39" spans="1:9">
      <c r="A39" s="12">
        <v>91066</v>
      </c>
      <c r="B39" s="12" t="s">
        <v>143</v>
      </c>
      <c r="D39" s="17" t="s">
        <v>494</v>
      </c>
      <c r="E39" t="s">
        <v>690</v>
      </c>
      <c r="F39" s="17">
        <v>8</v>
      </c>
      <c r="G39" t="s">
        <v>690</v>
      </c>
      <c r="H39" s="17">
        <v>11</v>
      </c>
    </row>
    <row r="40" spans="1:9">
      <c r="A40" s="12">
        <v>91123</v>
      </c>
      <c r="B40" s="12" t="s">
        <v>144</v>
      </c>
      <c r="D40" s="17" t="s">
        <v>494</v>
      </c>
      <c r="E40" t="s">
        <v>691</v>
      </c>
      <c r="F40" s="17">
        <v>0</v>
      </c>
      <c r="G40" t="s">
        <v>691</v>
      </c>
      <c r="H40">
        <v>2</v>
      </c>
    </row>
    <row r="41" spans="1:9">
      <c r="A41" s="12">
        <v>91124</v>
      </c>
      <c r="B41" s="12" t="s">
        <v>145</v>
      </c>
      <c r="D41" s="17" t="s">
        <v>494</v>
      </c>
    </row>
    <row r="42" spans="1:9">
      <c r="A42" s="12">
        <v>91056</v>
      </c>
      <c r="B42" s="12" t="s">
        <v>146</v>
      </c>
      <c r="D42" s="17" t="s">
        <v>668</v>
      </c>
    </row>
    <row r="43" spans="1:9">
      <c r="A43" s="12">
        <v>91014</v>
      </c>
      <c r="B43" s="12" t="s">
        <v>147</v>
      </c>
      <c r="D43" s="17" t="s">
        <v>666</v>
      </c>
    </row>
    <row r="44" spans="1:9">
      <c r="A44" s="12">
        <v>91125</v>
      </c>
      <c r="B44" s="12" t="s">
        <v>148</v>
      </c>
      <c r="D44" s="17" t="s">
        <v>495</v>
      </c>
    </row>
    <row r="45" spans="1:9">
      <c r="A45" s="12">
        <v>90700</v>
      </c>
      <c r="B45" s="12" t="s">
        <v>149</v>
      </c>
      <c r="D45" s="17" t="s">
        <v>494</v>
      </c>
    </row>
    <row r="46" spans="1:9">
      <c r="A46" s="12">
        <v>90884</v>
      </c>
      <c r="B46" s="12" t="s">
        <v>150</v>
      </c>
      <c r="D46" s="17" t="s">
        <v>494</v>
      </c>
    </row>
  </sheetData>
  <mergeCells count="1">
    <mergeCell ref="A25:C25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C1206-B596-4B79-821B-1FA5F5CC5908}">
  <dimension ref="A1:M45"/>
  <sheetViews>
    <sheetView topLeftCell="E36" zoomScaleNormal="100" workbookViewId="0">
      <selection activeCell="F40" sqref="F40"/>
    </sheetView>
  </sheetViews>
  <sheetFormatPr defaultRowHeight="14.6"/>
  <cols>
    <col min="1" max="1" width="12.53515625" customWidth="1"/>
    <col min="2" max="3" width="28" customWidth="1"/>
    <col min="4" max="4" width="18.15234375" customWidth="1"/>
    <col min="5" max="5" width="75.15234375" customWidth="1"/>
    <col min="6" max="6" width="57.23046875" customWidth="1"/>
    <col min="7" max="8" width="16.15234375" customWidth="1"/>
    <col min="9" max="9" width="16.3046875" customWidth="1"/>
    <col min="10" max="10" width="16.23046875" customWidth="1"/>
    <col min="11" max="11" width="16.53515625" customWidth="1"/>
    <col min="12" max="12" width="16.3046875" customWidth="1"/>
  </cols>
  <sheetData>
    <row r="1" spans="1:13">
      <c r="A1" t="s">
        <v>500</v>
      </c>
      <c r="B1" t="s">
        <v>504</v>
      </c>
      <c r="C1" t="s">
        <v>672</v>
      </c>
      <c r="D1" t="s">
        <v>514</v>
      </c>
      <c r="E1" t="s">
        <v>505</v>
      </c>
      <c r="F1" t="s">
        <v>506</v>
      </c>
      <c r="G1" t="s">
        <v>400</v>
      </c>
    </row>
    <row r="2" spans="1:13">
      <c r="A2" s="4" t="s">
        <v>501</v>
      </c>
      <c r="B2" s="13" t="s">
        <v>377</v>
      </c>
      <c r="C2" s="13" t="s">
        <v>673</v>
      </c>
      <c r="D2" s="13" t="s">
        <v>515</v>
      </c>
      <c r="E2" s="4" t="s">
        <v>378</v>
      </c>
      <c r="F2" s="4" t="s">
        <v>379</v>
      </c>
      <c r="G2" s="14" t="s">
        <v>560</v>
      </c>
      <c r="L2" s="4"/>
      <c r="M2" s="14"/>
    </row>
    <row r="3" spans="1:13">
      <c r="A3" s="4" t="s">
        <v>501</v>
      </c>
      <c r="B3" s="13" t="s">
        <v>377</v>
      </c>
      <c r="C3" s="13" t="s">
        <v>674</v>
      </c>
      <c r="D3" s="13" t="s">
        <v>515</v>
      </c>
      <c r="E3" s="4" t="s">
        <v>380</v>
      </c>
      <c r="F3" s="4" t="s">
        <v>379</v>
      </c>
      <c r="G3" s="14" t="s">
        <v>561</v>
      </c>
      <c r="L3" s="4"/>
      <c r="M3" s="14"/>
    </row>
    <row r="4" spans="1:13">
      <c r="A4" s="4" t="s">
        <v>501</v>
      </c>
      <c r="B4" s="13" t="s">
        <v>377</v>
      </c>
      <c r="C4" s="13" t="s">
        <v>675</v>
      </c>
      <c r="D4" s="13" t="s">
        <v>515</v>
      </c>
      <c r="E4" s="4" t="s">
        <v>381</v>
      </c>
      <c r="F4" s="4" t="s">
        <v>382</v>
      </c>
      <c r="G4" s="14" t="s">
        <v>562</v>
      </c>
      <c r="L4" s="4"/>
      <c r="M4" s="14"/>
    </row>
    <row r="5" spans="1:13">
      <c r="A5" s="4" t="s">
        <v>501</v>
      </c>
      <c r="B5" s="13" t="s">
        <v>383</v>
      </c>
      <c r="C5" s="13" t="s">
        <v>676</v>
      </c>
      <c r="D5" s="13" t="s">
        <v>515</v>
      </c>
      <c r="E5" s="4" t="s">
        <v>384</v>
      </c>
      <c r="F5" s="4" t="s">
        <v>379</v>
      </c>
      <c r="G5" s="14" t="s">
        <v>563</v>
      </c>
      <c r="L5" s="4"/>
      <c r="M5" s="14"/>
    </row>
    <row r="6" spans="1:13">
      <c r="A6" s="4" t="s">
        <v>501</v>
      </c>
      <c r="B6" s="13" t="s">
        <v>383</v>
      </c>
      <c r="C6" s="33" t="s">
        <v>678</v>
      </c>
      <c r="D6" s="13" t="s">
        <v>515</v>
      </c>
      <c r="E6" s="4" t="s">
        <v>385</v>
      </c>
      <c r="F6" s="4" t="s">
        <v>386</v>
      </c>
      <c r="G6" s="14" t="s">
        <v>564</v>
      </c>
      <c r="L6" s="4"/>
      <c r="M6" s="14"/>
    </row>
    <row r="7" spans="1:13">
      <c r="A7" s="4" t="s">
        <v>501</v>
      </c>
      <c r="B7" s="13" t="s">
        <v>383</v>
      </c>
      <c r="C7" s="13" t="s">
        <v>677</v>
      </c>
      <c r="D7" s="13" t="s">
        <v>515</v>
      </c>
      <c r="E7" s="4" t="s">
        <v>387</v>
      </c>
      <c r="F7" s="4" t="s">
        <v>379</v>
      </c>
      <c r="G7" s="14" t="s">
        <v>565</v>
      </c>
      <c r="L7" s="4"/>
      <c r="M7" s="14"/>
    </row>
    <row r="8" spans="1:13">
      <c r="A8" s="4" t="s">
        <v>501</v>
      </c>
      <c r="B8" s="13" t="s">
        <v>388</v>
      </c>
      <c r="C8" s="13" t="s">
        <v>679</v>
      </c>
      <c r="D8" s="13" t="s">
        <v>515</v>
      </c>
      <c r="E8" s="4" t="s">
        <v>389</v>
      </c>
      <c r="F8" s="4" t="s">
        <v>382</v>
      </c>
      <c r="G8" s="14" t="s">
        <v>566</v>
      </c>
      <c r="L8" s="4"/>
      <c r="M8" s="14"/>
    </row>
    <row r="9" spans="1:13">
      <c r="A9" s="4" t="s">
        <v>501</v>
      </c>
      <c r="B9" s="13" t="s">
        <v>388</v>
      </c>
      <c r="C9" s="13" t="s">
        <v>680</v>
      </c>
      <c r="D9" s="13" t="s">
        <v>515</v>
      </c>
      <c r="E9" s="4" t="s">
        <v>385</v>
      </c>
      <c r="F9" s="4" t="s">
        <v>386</v>
      </c>
      <c r="G9" s="14" t="s">
        <v>567</v>
      </c>
      <c r="L9" s="4"/>
      <c r="M9" s="14"/>
    </row>
    <row r="10" spans="1:13">
      <c r="A10" s="4" t="s">
        <v>501</v>
      </c>
      <c r="B10" s="13" t="s">
        <v>390</v>
      </c>
      <c r="C10" s="13" t="s">
        <v>681</v>
      </c>
      <c r="D10" s="13" t="s">
        <v>515</v>
      </c>
      <c r="E10" s="4" t="s">
        <v>391</v>
      </c>
      <c r="F10" s="4" t="s">
        <v>379</v>
      </c>
      <c r="G10" s="14" t="s">
        <v>568</v>
      </c>
      <c r="L10" s="4"/>
      <c r="M10" s="14"/>
    </row>
    <row r="11" spans="1:13">
      <c r="A11" s="4" t="s">
        <v>501</v>
      </c>
      <c r="B11" s="13" t="s">
        <v>390</v>
      </c>
      <c r="C11" s="13" t="s">
        <v>682</v>
      </c>
      <c r="D11" s="13" t="s">
        <v>515</v>
      </c>
      <c r="E11" s="4" t="s">
        <v>389</v>
      </c>
      <c r="F11" s="4" t="s">
        <v>379</v>
      </c>
      <c r="G11" s="14" t="s">
        <v>569</v>
      </c>
      <c r="L11" s="4"/>
      <c r="M11" s="14"/>
    </row>
    <row r="12" spans="1:13">
      <c r="A12" s="4" t="s">
        <v>501</v>
      </c>
      <c r="B12" s="13" t="s">
        <v>392</v>
      </c>
      <c r="C12" s="13" t="s">
        <v>683</v>
      </c>
      <c r="D12" s="13" t="s">
        <v>515</v>
      </c>
      <c r="E12" s="4" t="s">
        <v>393</v>
      </c>
      <c r="F12" s="4" t="s">
        <v>382</v>
      </c>
      <c r="G12" s="14" t="s">
        <v>570</v>
      </c>
      <c r="L12" s="4"/>
      <c r="M12" s="14"/>
    </row>
    <row r="13" spans="1:13">
      <c r="A13" s="4" t="s">
        <v>501</v>
      </c>
      <c r="B13" s="13" t="s">
        <v>394</v>
      </c>
      <c r="C13" s="13" t="s">
        <v>684</v>
      </c>
      <c r="D13" s="13" t="s">
        <v>515</v>
      </c>
      <c r="E13" s="4" t="s">
        <v>395</v>
      </c>
      <c r="F13" s="4" t="s">
        <v>386</v>
      </c>
      <c r="G13" s="14" t="s">
        <v>571</v>
      </c>
      <c r="L13" s="4"/>
      <c r="M13" s="14"/>
    </row>
    <row r="14" spans="1:13">
      <c r="A14" s="4" t="s">
        <v>501</v>
      </c>
      <c r="B14" s="13" t="s">
        <v>394</v>
      </c>
      <c r="C14" s="13" t="s">
        <v>685</v>
      </c>
      <c r="D14" s="13" t="s">
        <v>515</v>
      </c>
      <c r="E14" s="4" t="s">
        <v>396</v>
      </c>
      <c r="F14" s="4" t="s">
        <v>386</v>
      </c>
      <c r="G14" s="14" t="s">
        <v>572</v>
      </c>
      <c r="L14" s="4"/>
      <c r="M14" s="14"/>
    </row>
    <row r="15" spans="1:13">
      <c r="A15" s="4" t="s">
        <v>501</v>
      </c>
      <c r="B15" s="13" t="s">
        <v>397</v>
      </c>
      <c r="C15" s="13" t="s">
        <v>686</v>
      </c>
      <c r="D15" s="13" t="s">
        <v>515</v>
      </c>
      <c r="E15" s="4" t="s">
        <v>398</v>
      </c>
      <c r="F15" s="4" t="s">
        <v>399</v>
      </c>
      <c r="G15" s="14" t="s">
        <v>573</v>
      </c>
      <c r="L15" s="4"/>
      <c r="M15" s="14"/>
    </row>
    <row r="16" spans="1:13" ht="28.75">
      <c r="A16" s="4" t="s">
        <v>507</v>
      </c>
      <c r="B16" s="13" t="s">
        <v>401</v>
      </c>
      <c r="C16" s="13" t="s">
        <v>687</v>
      </c>
      <c r="D16" s="13" t="s">
        <v>515</v>
      </c>
      <c r="E16" s="36" t="s">
        <v>508</v>
      </c>
      <c r="F16" s="4" t="s">
        <v>510</v>
      </c>
      <c r="G16" s="14" t="s">
        <v>574</v>
      </c>
      <c r="L16" s="4"/>
      <c r="M16" s="14"/>
    </row>
    <row r="17" spans="1:13" ht="28.75">
      <c r="A17" s="4" t="s">
        <v>507</v>
      </c>
      <c r="B17" s="13" t="s">
        <v>402</v>
      </c>
      <c r="C17" s="13" t="s">
        <v>688</v>
      </c>
      <c r="D17" s="13" t="s">
        <v>518</v>
      </c>
      <c r="E17" s="36" t="s">
        <v>519</v>
      </c>
      <c r="F17" s="4" t="s">
        <v>511</v>
      </c>
      <c r="G17" s="14" t="s">
        <v>575</v>
      </c>
      <c r="L17" s="4"/>
      <c r="M17" s="14"/>
    </row>
    <row r="18" spans="1:13">
      <c r="A18" s="4" t="s">
        <v>507</v>
      </c>
      <c r="B18" s="13" t="s">
        <v>403</v>
      </c>
      <c r="C18" s="13" t="s">
        <v>666</v>
      </c>
      <c r="D18" s="13" t="s">
        <v>517</v>
      </c>
      <c r="E18" s="4" t="s">
        <v>509</v>
      </c>
      <c r="F18" s="4" t="s">
        <v>523</v>
      </c>
      <c r="G18" s="14" t="s">
        <v>576</v>
      </c>
      <c r="L18" s="4"/>
      <c r="M18" s="14"/>
    </row>
    <row r="19" spans="1:13" ht="28.75">
      <c r="A19" s="4" t="s">
        <v>507</v>
      </c>
      <c r="B19" s="13" t="s">
        <v>404</v>
      </c>
      <c r="C19" s="13" t="s">
        <v>688</v>
      </c>
      <c r="D19" s="13" t="s">
        <v>518</v>
      </c>
      <c r="E19" s="35" t="s">
        <v>520</v>
      </c>
      <c r="F19" s="4" t="s">
        <v>512</v>
      </c>
      <c r="G19" s="14" t="s">
        <v>577</v>
      </c>
      <c r="L19" s="4"/>
      <c r="M19" s="14"/>
    </row>
    <row r="20" spans="1:13">
      <c r="A20" s="4" t="s">
        <v>507</v>
      </c>
      <c r="B20" s="13" t="s">
        <v>405</v>
      </c>
      <c r="C20" s="13" t="s">
        <v>688</v>
      </c>
      <c r="D20" s="13" t="s">
        <v>516</v>
      </c>
      <c r="E20" s="4" t="s">
        <v>521</v>
      </c>
      <c r="F20" s="4" t="s">
        <v>406</v>
      </c>
      <c r="G20" s="14" t="s">
        <v>578</v>
      </c>
      <c r="L20" s="4"/>
      <c r="M20" s="14"/>
    </row>
    <row r="21" spans="1:13">
      <c r="A21" s="4" t="s">
        <v>507</v>
      </c>
      <c r="B21" s="13" t="s">
        <v>407</v>
      </c>
      <c r="C21" s="13" t="s">
        <v>688</v>
      </c>
      <c r="D21" s="13" t="s">
        <v>516</v>
      </c>
      <c r="E21" s="4" t="s">
        <v>522</v>
      </c>
      <c r="F21" s="4" t="s">
        <v>513</v>
      </c>
      <c r="G21" s="2" t="s">
        <v>579</v>
      </c>
      <c r="L21" s="4"/>
    </row>
    <row r="22" spans="1:13">
      <c r="A22" s="15"/>
      <c r="B22" s="4"/>
      <c r="C22" s="4"/>
      <c r="D22" s="4"/>
      <c r="F22" s="4"/>
      <c r="G22" s="14"/>
    </row>
    <row r="23" spans="1:13">
      <c r="A23" s="15"/>
      <c r="B23" s="4"/>
      <c r="C23" s="4"/>
      <c r="D23" s="4"/>
      <c r="F23" s="4"/>
      <c r="G23" s="14"/>
    </row>
    <row r="24" spans="1:13">
      <c r="A24" s="15"/>
      <c r="B24" s="15"/>
      <c r="C24" s="15" t="s">
        <v>694</v>
      </c>
      <c r="D24" s="15" t="s">
        <v>697</v>
      </c>
      <c r="F24" s="4"/>
      <c r="G24" s="14"/>
    </row>
    <row r="25" spans="1:13">
      <c r="A25" s="15"/>
      <c r="B25" s="4"/>
      <c r="C25" s="4" t="s">
        <v>695</v>
      </c>
      <c r="D25" s="4" t="s">
        <v>696</v>
      </c>
      <c r="F25" s="4"/>
      <c r="G25" s="14"/>
    </row>
    <row r="26" spans="1:13">
      <c r="A26" s="15"/>
      <c r="B26" s="4"/>
      <c r="C26" s="4"/>
      <c r="D26" s="4"/>
      <c r="F26" s="4"/>
    </row>
    <row r="27" spans="1:13" ht="31.75">
      <c r="D27" t="s">
        <v>506</v>
      </c>
      <c r="E27" t="s">
        <v>699</v>
      </c>
      <c r="F27" s="12"/>
      <c r="G27" s="37" t="s">
        <v>701</v>
      </c>
      <c r="H27" s="37" t="s">
        <v>700</v>
      </c>
      <c r="I27" s="37" t="s">
        <v>719</v>
      </c>
      <c r="J27" s="37" t="s">
        <v>698</v>
      </c>
      <c r="K27" s="37" t="s">
        <v>721</v>
      </c>
      <c r="L27" s="37" t="s">
        <v>720</v>
      </c>
    </row>
    <row r="28" spans="1:13" ht="31.75">
      <c r="D28" t="s">
        <v>701</v>
      </c>
      <c r="E28">
        <v>9</v>
      </c>
      <c r="F28" s="12"/>
      <c r="G28" s="38" t="s">
        <v>384</v>
      </c>
      <c r="H28" s="38" t="s">
        <v>416</v>
      </c>
      <c r="I28" s="38" t="s">
        <v>384</v>
      </c>
      <c r="J28" s="38" t="s">
        <v>618</v>
      </c>
      <c r="K28" s="38" t="s">
        <v>723</v>
      </c>
      <c r="L28" s="38" t="s">
        <v>132</v>
      </c>
    </row>
    <row r="29" spans="1:13" ht="31.75">
      <c r="D29" t="s">
        <v>700</v>
      </c>
      <c r="E29">
        <v>9</v>
      </c>
      <c r="F29" s="12"/>
      <c r="G29" s="38" t="s">
        <v>618</v>
      </c>
      <c r="H29" s="38" t="s">
        <v>722</v>
      </c>
      <c r="I29" s="38" t="s">
        <v>618</v>
      </c>
      <c r="J29" s="38" t="s">
        <v>385</v>
      </c>
      <c r="K29" s="38" t="s">
        <v>421</v>
      </c>
      <c r="L29" s="38" t="s">
        <v>729</v>
      </c>
    </row>
    <row r="30" spans="1:13" ht="31.75">
      <c r="D30" t="s">
        <v>386</v>
      </c>
      <c r="E30">
        <v>10</v>
      </c>
      <c r="F30" s="12"/>
      <c r="G30" s="38" t="s">
        <v>703</v>
      </c>
      <c r="H30" s="38" t="s">
        <v>723</v>
      </c>
      <c r="I30" s="38" t="s">
        <v>703</v>
      </c>
      <c r="J30" s="38" t="s">
        <v>705</v>
      </c>
      <c r="K30" s="38" t="s">
        <v>728</v>
      </c>
      <c r="L30" s="38" t="s">
        <v>730</v>
      </c>
    </row>
    <row r="31" spans="1:13" ht="31.75">
      <c r="D31" t="s">
        <v>698</v>
      </c>
      <c r="E31">
        <v>5</v>
      </c>
      <c r="F31" s="12"/>
      <c r="G31" s="38" t="s">
        <v>385</v>
      </c>
      <c r="H31" s="38" t="s">
        <v>724</v>
      </c>
      <c r="I31" s="38" t="s">
        <v>385</v>
      </c>
      <c r="J31" s="38" t="s">
        <v>706</v>
      </c>
      <c r="K31" s="38"/>
      <c r="L31" s="38" t="s">
        <v>731</v>
      </c>
    </row>
    <row r="32" spans="1:13" ht="47.6">
      <c r="D32" t="s">
        <v>702</v>
      </c>
      <c r="E32">
        <v>2</v>
      </c>
      <c r="F32" s="12"/>
      <c r="G32" s="38"/>
      <c r="H32" s="38" t="s">
        <v>421</v>
      </c>
      <c r="I32" s="38" t="s">
        <v>395</v>
      </c>
      <c r="J32" s="38" t="s">
        <v>707</v>
      </c>
      <c r="K32" s="38"/>
      <c r="L32" s="38" t="s">
        <v>732</v>
      </c>
    </row>
    <row r="33" spans="4:12" ht="47.6">
      <c r="D33" t="s">
        <v>720</v>
      </c>
      <c r="E33">
        <v>19</v>
      </c>
      <c r="F33" s="12"/>
      <c r="G33" s="38"/>
      <c r="H33" s="38" t="s">
        <v>725</v>
      </c>
      <c r="I33" s="38" t="s">
        <v>704</v>
      </c>
      <c r="J33" s="38" t="s">
        <v>708</v>
      </c>
      <c r="K33" s="38"/>
      <c r="L33" s="38" t="s">
        <v>138</v>
      </c>
    </row>
    <row r="34" spans="4:12" ht="31.75">
      <c r="F34" s="12"/>
      <c r="G34" s="38"/>
      <c r="H34" s="38" t="s">
        <v>726</v>
      </c>
      <c r="I34" s="38"/>
      <c r="J34" s="38" t="s">
        <v>709</v>
      </c>
      <c r="K34" s="38"/>
      <c r="L34" s="38" t="s">
        <v>139</v>
      </c>
    </row>
    <row r="35" spans="4:12" ht="31.75">
      <c r="F35" s="12"/>
      <c r="G35" s="38"/>
      <c r="H35" s="38" t="s">
        <v>727</v>
      </c>
      <c r="I35" s="38"/>
      <c r="J35" s="38" t="s">
        <v>710</v>
      </c>
      <c r="K35" s="38"/>
      <c r="L35" s="38" t="s">
        <v>140</v>
      </c>
    </row>
    <row r="36" spans="4:12" ht="31.75">
      <c r="F36" s="12"/>
      <c r="G36" s="38"/>
      <c r="H36" s="38" t="s">
        <v>425</v>
      </c>
      <c r="I36" s="38"/>
      <c r="J36" s="38" t="s">
        <v>711</v>
      </c>
      <c r="K36" s="38"/>
      <c r="L36" s="38" t="s">
        <v>141</v>
      </c>
    </row>
    <row r="37" spans="4:12" ht="31.75">
      <c r="F37" s="12"/>
      <c r="G37" s="38"/>
      <c r="H37" s="38"/>
      <c r="I37" s="38"/>
      <c r="J37" s="38" t="s">
        <v>712</v>
      </c>
      <c r="K37" s="38"/>
      <c r="L37" s="38" t="s">
        <v>142</v>
      </c>
    </row>
    <row r="38" spans="4:12" ht="47.6">
      <c r="F38" s="12"/>
      <c r="G38" s="38"/>
      <c r="H38" s="38"/>
      <c r="I38" s="38"/>
      <c r="J38" s="38" t="s">
        <v>713</v>
      </c>
      <c r="K38" s="38"/>
      <c r="L38" s="38" t="s">
        <v>143</v>
      </c>
    </row>
    <row r="39" spans="4:12" ht="31.75">
      <c r="F39" s="12"/>
      <c r="G39" s="38"/>
      <c r="H39" s="38"/>
      <c r="I39" s="38"/>
      <c r="J39" s="38" t="s">
        <v>384</v>
      </c>
      <c r="K39" s="38"/>
      <c r="L39" s="38" t="s">
        <v>144</v>
      </c>
    </row>
    <row r="40" spans="4:12" ht="31.75">
      <c r="F40" s="12"/>
      <c r="G40" s="38"/>
      <c r="H40" s="38"/>
      <c r="I40" s="38"/>
      <c r="J40" s="38" t="s">
        <v>714</v>
      </c>
      <c r="K40" s="38"/>
      <c r="L40" s="38" t="s">
        <v>145</v>
      </c>
    </row>
    <row r="41" spans="4:12" ht="31.75">
      <c r="F41" s="12"/>
      <c r="G41" s="38"/>
      <c r="H41" s="38"/>
      <c r="I41" s="38"/>
      <c r="J41" s="38" t="s">
        <v>715</v>
      </c>
      <c r="K41" s="38"/>
      <c r="L41" s="38" t="s">
        <v>146</v>
      </c>
    </row>
    <row r="42" spans="4:12" ht="31.75">
      <c r="F42" s="12"/>
      <c r="G42" s="38"/>
      <c r="H42" s="38"/>
      <c r="I42" s="38"/>
      <c r="J42" s="38" t="s">
        <v>716</v>
      </c>
      <c r="K42" s="38"/>
      <c r="L42" s="38" t="s">
        <v>732</v>
      </c>
    </row>
    <row r="43" spans="4:12" ht="15.9">
      <c r="F43" s="12"/>
      <c r="G43" s="38"/>
      <c r="H43" s="38"/>
      <c r="I43" s="38"/>
      <c r="J43" s="38" t="s">
        <v>717</v>
      </c>
      <c r="K43" s="38"/>
      <c r="L43" s="38" t="s">
        <v>733</v>
      </c>
    </row>
    <row r="44" spans="4:12" ht="31.75">
      <c r="F44" s="12"/>
      <c r="G44" s="38"/>
      <c r="H44" s="38"/>
      <c r="I44" s="38"/>
      <c r="J44" s="38" t="s">
        <v>718</v>
      </c>
      <c r="K44" s="38"/>
      <c r="L44" s="38" t="s">
        <v>734</v>
      </c>
    </row>
    <row r="45" spans="4:12" ht="15.9">
      <c r="F45" s="12"/>
      <c r="G45" s="38"/>
      <c r="H45" s="38"/>
      <c r="I45" s="38"/>
      <c r="J45" s="38"/>
      <c r="K45" s="38"/>
      <c r="L45" s="38" t="s">
        <v>150</v>
      </c>
    </row>
  </sheetData>
  <phoneticPr fontId="13" type="noConversion"/>
  <hyperlinks>
    <hyperlink ref="G21" r:id="rId1" xr:uid="{914EEA6A-D046-4790-ADC1-E06C6CE9BC96}"/>
    <hyperlink ref="G2" r:id="rId2" xr:uid="{08CF29ED-CC05-4688-A0B2-C29E68B31591}"/>
    <hyperlink ref="G3" r:id="rId3" xr:uid="{07D8C705-A80F-430C-838F-DEC433A5194E}"/>
    <hyperlink ref="G4" r:id="rId4" xr:uid="{6AC14DB0-2791-4F5F-8090-25A06C9873C6}"/>
    <hyperlink ref="G5" r:id="rId5" xr:uid="{AB2C27E6-3C3B-478C-97DA-96081B58550C}"/>
    <hyperlink ref="G6" r:id="rId6" xr:uid="{884AFC0C-ACD5-430F-80F9-21CAA4D160FA}"/>
    <hyperlink ref="G17" r:id="rId7" xr:uid="{E055D9D6-75AB-4551-A4DB-9691B9E43F8B}"/>
    <hyperlink ref="G7" r:id="rId8" xr:uid="{1E904A34-90B9-4751-8E31-ACF61F9B315C}"/>
    <hyperlink ref="G8" r:id="rId9" xr:uid="{0AA00F37-B622-4FA8-84F4-795966008DC3}"/>
    <hyperlink ref="G9" r:id="rId10" xr:uid="{F919F8A7-8AB0-4BB0-B005-1A01A74C1EF5}"/>
    <hyperlink ref="G10" r:id="rId11" xr:uid="{523DC096-8214-4CDD-B37B-E031297C2933}"/>
    <hyperlink ref="G11" r:id="rId12" xr:uid="{B5E86F4A-E4E8-4D12-8073-67EA6AF6FD38}"/>
    <hyperlink ref="G12" r:id="rId13" xr:uid="{7AB600DB-75BC-4236-B2F8-525C0651BAD0}"/>
    <hyperlink ref="G13" r:id="rId14" xr:uid="{8F296E3F-231F-4FBC-801C-0ECAEA4CB1D5}"/>
    <hyperlink ref="G14" r:id="rId15" xr:uid="{B88D8C33-A3AD-4652-B54B-0297F2574D15}"/>
    <hyperlink ref="G15" r:id="rId16" xr:uid="{653EDC4A-254C-465E-A5AE-1116E767B03A}"/>
    <hyperlink ref="G16" r:id="rId17" xr:uid="{C6C5F498-4525-4CEF-BE62-64F15537914E}"/>
    <hyperlink ref="G18" r:id="rId18" xr:uid="{75995708-C741-48A8-96A3-63549C3DDFDB}"/>
    <hyperlink ref="G19" r:id="rId19" xr:uid="{0393C428-2579-41CF-B455-0F08CAFC5BAF}"/>
    <hyperlink ref="G20" r:id="rId20" xr:uid="{15A9B0E0-194D-40C3-A11D-F8C7288A56AE}"/>
  </hyperlinks>
  <pageMargins left="0.7" right="0.7" top="0.75" bottom="0.75" header="0.3" footer="0.3"/>
  <pageSetup orientation="portrait" r:id="rId21"/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B81D-604D-4802-AE3F-267395A117BB}">
  <dimension ref="A1:L14"/>
  <sheetViews>
    <sheetView workbookViewId="0">
      <selection activeCell="C15" sqref="C15"/>
    </sheetView>
  </sheetViews>
  <sheetFormatPr defaultRowHeight="14.6"/>
  <cols>
    <col min="1" max="1" width="21.69140625" customWidth="1"/>
    <col min="2" max="2" width="21.3828125" customWidth="1"/>
    <col min="3" max="3" width="14.07421875" customWidth="1"/>
    <col min="4" max="4" width="17.69140625" customWidth="1"/>
    <col min="5" max="5" width="36.765625" customWidth="1"/>
  </cols>
  <sheetData>
    <row r="1" spans="1:12" ht="15.9">
      <c r="A1" s="20" t="s">
        <v>408</v>
      </c>
      <c r="B1" s="20" t="s">
        <v>409</v>
      </c>
      <c r="C1" t="s">
        <v>689</v>
      </c>
      <c r="D1" s="20" t="s">
        <v>410</v>
      </c>
      <c r="E1" s="20" t="s">
        <v>375</v>
      </c>
      <c r="F1" s="20" t="s">
        <v>376</v>
      </c>
      <c r="G1" s="21"/>
      <c r="H1" s="21"/>
      <c r="I1" s="21"/>
      <c r="J1" s="21"/>
      <c r="K1" s="21"/>
      <c r="L1" s="21"/>
    </row>
    <row r="2" spans="1:12" ht="15.9">
      <c r="A2" s="20" t="s">
        <v>411</v>
      </c>
      <c r="B2" s="20" t="s">
        <v>412</v>
      </c>
      <c r="C2">
        <v>122</v>
      </c>
      <c r="D2" s="20" t="s">
        <v>413</v>
      </c>
      <c r="E2" s="22" t="s">
        <v>414</v>
      </c>
      <c r="F2" s="14" t="s">
        <v>550</v>
      </c>
      <c r="G2" s="21"/>
      <c r="H2" s="21"/>
      <c r="I2" s="21"/>
      <c r="J2" s="21"/>
      <c r="K2" s="21"/>
      <c r="L2" s="21"/>
    </row>
    <row r="3" spans="1:12" ht="15.9">
      <c r="A3" s="20" t="s">
        <v>415</v>
      </c>
      <c r="B3" s="20" t="s">
        <v>416</v>
      </c>
      <c r="C3">
        <v>150</v>
      </c>
      <c r="D3" s="20" t="s">
        <v>417</v>
      </c>
      <c r="E3" s="22" t="s">
        <v>418</v>
      </c>
      <c r="F3" s="14" t="s">
        <v>551</v>
      </c>
      <c r="G3" s="21"/>
      <c r="H3" s="21"/>
      <c r="I3" s="21"/>
      <c r="J3" s="21"/>
      <c r="K3" s="21"/>
      <c r="L3" s="21"/>
    </row>
    <row r="4" spans="1:12" ht="15.9">
      <c r="A4" s="20" t="s">
        <v>411</v>
      </c>
      <c r="B4" s="20" t="s">
        <v>419</v>
      </c>
      <c r="C4">
        <v>120</v>
      </c>
      <c r="D4" s="20" t="s">
        <v>413</v>
      </c>
      <c r="E4" s="22" t="s">
        <v>420</v>
      </c>
      <c r="F4" s="22" t="s">
        <v>552</v>
      </c>
      <c r="G4" s="21"/>
      <c r="H4" s="21"/>
      <c r="I4" s="21"/>
      <c r="J4" s="21"/>
      <c r="K4" s="21"/>
      <c r="L4" s="21"/>
    </row>
    <row r="5" spans="1:12" ht="15.9">
      <c r="A5" s="20" t="s">
        <v>411</v>
      </c>
      <c r="B5" s="20" t="s">
        <v>419</v>
      </c>
      <c r="C5">
        <v>120</v>
      </c>
      <c r="D5" s="20" t="s">
        <v>413</v>
      </c>
      <c r="E5" s="22" t="s">
        <v>421</v>
      </c>
      <c r="F5" s="22" t="s">
        <v>553</v>
      </c>
      <c r="G5" s="21"/>
      <c r="H5" s="21"/>
      <c r="I5" s="21"/>
      <c r="J5" s="21"/>
      <c r="K5" s="21"/>
      <c r="L5" s="21"/>
    </row>
    <row r="6" spans="1:12" ht="15.9">
      <c r="A6" s="20" t="s">
        <v>411</v>
      </c>
      <c r="B6" s="20" t="s">
        <v>419</v>
      </c>
      <c r="C6">
        <v>124</v>
      </c>
      <c r="D6" s="20" t="s">
        <v>413</v>
      </c>
      <c r="E6" s="22" t="s">
        <v>422</v>
      </c>
      <c r="F6" s="22" t="s">
        <v>554</v>
      </c>
      <c r="G6" s="21"/>
      <c r="H6" s="21"/>
      <c r="I6" s="21"/>
      <c r="J6" s="21"/>
      <c r="K6" s="21"/>
      <c r="L6" s="21"/>
    </row>
    <row r="7" spans="1:12" ht="15.9">
      <c r="A7" s="20" t="s">
        <v>411</v>
      </c>
      <c r="B7" s="20" t="s">
        <v>419</v>
      </c>
      <c r="C7">
        <v>124</v>
      </c>
      <c r="D7" s="20" t="s">
        <v>413</v>
      </c>
      <c r="E7" s="22" t="s">
        <v>423</v>
      </c>
      <c r="F7" s="22" t="s">
        <v>555</v>
      </c>
      <c r="G7" s="21"/>
      <c r="H7" s="21"/>
      <c r="I7" s="21"/>
      <c r="J7" s="21"/>
      <c r="K7" s="21"/>
      <c r="L7" s="21"/>
    </row>
    <row r="8" spans="1:12" ht="15.9">
      <c r="A8" s="20" t="s">
        <v>424</v>
      </c>
      <c r="B8" s="20" t="s">
        <v>419</v>
      </c>
      <c r="C8">
        <v>128.5</v>
      </c>
      <c r="D8" s="20" t="s">
        <v>413</v>
      </c>
      <c r="E8" s="22" t="s">
        <v>421</v>
      </c>
      <c r="F8" s="22" t="s">
        <v>556</v>
      </c>
      <c r="G8" s="21"/>
      <c r="H8" s="21"/>
      <c r="I8" s="21"/>
      <c r="J8" s="21"/>
      <c r="K8" s="21"/>
      <c r="L8" s="21"/>
    </row>
    <row r="9" spans="1:12" ht="15.9">
      <c r="A9" s="20" t="s">
        <v>424</v>
      </c>
      <c r="B9" s="20" t="s">
        <v>419</v>
      </c>
      <c r="C9">
        <v>130</v>
      </c>
      <c r="D9" s="20" t="s">
        <v>413</v>
      </c>
      <c r="E9" s="22" t="s">
        <v>422</v>
      </c>
      <c r="F9" s="22" t="s">
        <v>557</v>
      </c>
      <c r="G9" s="21"/>
      <c r="H9" s="21"/>
      <c r="I9" s="21"/>
      <c r="J9" s="21"/>
      <c r="K9" s="21"/>
      <c r="L9" s="21"/>
    </row>
    <row r="10" spans="1:12" ht="15.9">
      <c r="A10" s="20" t="s">
        <v>424</v>
      </c>
      <c r="B10" s="20" t="s">
        <v>419</v>
      </c>
      <c r="C10">
        <v>120</v>
      </c>
      <c r="D10" s="20" t="s">
        <v>413</v>
      </c>
      <c r="E10" s="22" t="s">
        <v>425</v>
      </c>
      <c r="F10" s="22" t="s">
        <v>558</v>
      </c>
      <c r="G10" s="21"/>
      <c r="H10" s="21"/>
      <c r="I10" s="21"/>
      <c r="J10" s="21"/>
      <c r="K10" s="21"/>
      <c r="L10" s="21"/>
    </row>
    <row r="11" spans="1:12" ht="15.9">
      <c r="A11" s="20" t="s">
        <v>426</v>
      </c>
      <c r="B11" s="20" t="s">
        <v>427</v>
      </c>
      <c r="C11">
        <v>35</v>
      </c>
      <c r="D11" s="20" t="s">
        <v>428</v>
      </c>
      <c r="E11" s="22" t="s">
        <v>429</v>
      </c>
      <c r="F11" s="14" t="s">
        <v>559</v>
      </c>
      <c r="G11" s="21"/>
      <c r="H11" s="21"/>
      <c r="I11" s="21"/>
      <c r="J11" s="21"/>
      <c r="K11" s="21"/>
      <c r="L11" s="21"/>
    </row>
    <row r="14" spans="1:12">
      <c r="C14">
        <f>AVERAGE(C2:C10)</f>
        <v>126.5</v>
      </c>
    </row>
  </sheetData>
  <hyperlinks>
    <hyperlink ref="E2" r:id="rId1" xr:uid="{057E39AE-64C3-4721-9445-6B979CB4077E}"/>
    <hyperlink ref="E3" r:id="rId2" xr:uid="{293EE844-9169-48E6-9748-B8A04F1ADDAB}"/>
    <hyperlink ref="E4" r:id="rId3" xr:uid="{F5E3141F-098B-4762-96FF-5F6F092DF1BD}"/>
    <hyperlink ref="E5" r:id="rId4" xr:uid="{DE59270D-85F1-423B-92BB-6C4A851420EC}"/>
    <hyperlink ref="E6" r:id="rId5" xr:uid="{F72A9FA2-4AA6-449D-B8DF-6B434516F606}"/>
    <hyperlink ref="E7" r:id="rId6" xr:uid="{532DFEE6-9DA5-4C9F-B05F-79643D337AD5}"/>
    <hyperlink ref="E8" r:id="rId7" xr:uid="{4EF892A5-02E0-4B61-9F7D-C12B8D209AFE}"/>
    <hyperlink ref="E9" r:id="rId8" xr:uid="{4A4CB4EA-D33D-4EB3-9154-8978D0A17B70}"/>
    <hyperlink ref="E10" r:id="rId9" xr:uid="{B74DA12D-6C6A-482E-9168-635E0B0B2069}"/>
    <hyperlink ref="E11" r:id="rId10" xr:uid="{71B73AD9-10CA-4221-8A40-7E321B80D0CA}"/>
    <hyperlink ref="F2" r:id="rId11" xr:uid="{133450B1-23D8-4BC1-BC3F-237926D0558C}"/>
    <hyperlink ref="F3" r:id="rId12" xr:uid="{3E955206-65A3-4CE9-A932-EA235A781AEB}"/>
    <hyperlink ref="F11" r:id="rId13" xr:uid="{060D47E0-4875-4870-AF60-50528A81E31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FD34-F6EA-49B6-B9FD-ABBDD7C94CA5}">
  <dimension ref="A1:C31"/>
  <sheetViews>
    <sheetView workbookViewId="0">
      <selection activeCell="G22" sqref="G22"/>
    </sheetView>
  </sheetViews>
  <sheetFormatPr defaultRowHeight="14.6"/>
  <cols>
    <col min="1" max="1" width="12.3828125" bestFit="1" customWidth="1"/>
    <col min="2" max="2" width="18.23046875" bestFit="1" customWidth="1"/>
    <col min="3" max="3" width="19.69140625" bestFit="1" customWidth="1"/>
  </cols>
  <sheetData>
    <row r="1" spans="1:3">
      <c r="A1" s="19" t="s">
        <v>130</v>
      </c>
      <c r="B1" s="19" t="s">
        <v>131</v>
      </c>
      <c r="C1" s="19" t="s">
        <v>546</v>
      </c>
    </row>
    <row r="2" spans="1:3">
      <c r="A2" s="12">
        <v>595</v>
      </c>
      <c r="B2" s="12" t="s">
        <v>132</v>
      </c>
      <c r="C2" s="12">
        <v>6000</v>
      </c>
    </row>
    <row r="3" spans="1:3">
      <c r="A3" s="12">
        <v>90380</v>
      </c>
      <c r="B3" s="12" t="s">
        <v>133</v>
      </c>
      <c r="C3" s="12">
        <v>4000</v>
      </c>
    </row>
    <row r="4" spans="1:3">
      <c r="A4" s="12">
        <v>90415</v>
      </c>
      <c r="B4" s="12" t="s">
        <v>134</v>
      </c>
      <c r="C4" s="12">
        <v>5000</v>
      </c>
    </row>
    <row r="5" spans="1:3">
      <c r="A5" s="12">
        <v>90708</v>
      </c>
      <c r="B5" s="12" t="s">
        <v>135</v>
      </c>
      <c r="C5" s="12">
        <v>2000</v>
      </c>
    </row>
    <row r="6" spans="1:3">
      <c r="A6" s="12">
        <v>90699</v>
      </c>
      <c r="B6" s="12" t="s">
        <v>136</v>
      </c>
      <c r="C6" s="12">
        <v>2000</v>
      </c>
    </row>
    <row r="7" spans="1:3">
      <c r="A7" s="12">
        <v>90050</v>
      </c>
      <c r="B7" s="12" t="s">
        <v>137</v>
      </c>
      <c r="C7" s="12">
        <v>6000</v>
      </c>
    </row>
    <row r="8" spans="1:3">
      <c r="A8" s="12">
        <v>91055</v>
      </c>
      <c r="B8" s="12" t="s">
        <v>138</v>
      </c>
      <c r="C8" s="12">
        <v>4000</v>
      </c>
    </row>
    <row r="9" spans="1:3">
      <c r="A9" s="12">
        <v>90885</v>
      </c>
      <c r="B9" s="12" t="s">
        <v>139</v>
      </c>
      <c r="C9" s="12">
        <v>4750</v>
      </c>
    </row>
    <row r="10" spans="1:3">
      <c r="A10" s="12">
        <v>90949</v>
      </c>
      <c r="B10" s="12" t="s">
        <v>140</v>
      </c>
      <c r="C10" s="12">
        <v>5000</v>
      </c>
    </row>
    <row r="11" spans="1:3">
      <c r="A11" s="12">
        <v>90966</v>
      </c>
      <c r="B11" s="12" t="s">
        <v>141</v>
      </c>
      <c r="C11" s="12">
        <v>2000</v>
      </c>
    </row>
    <row r="12" spans="1:3">
      <c r="A12" s="12">
        <v>90046</v>
      </c>
      <c r="B12" s="12" t="s">
        <v>142</v>
      </c>
      <c r="C12" s="12">
        <v>8000</v>
      </c>
    </row>
    <row r="13" spans="1:3">
      <c r="A13" s="12">
        <v>91066</v>
      </c>
      <c r="B13" s="12" t="s">
        <v>143</v>
      </c>
      <c r="C13" s="12">
        <v>4000</v>
      </c>
    </row>
    <row r="14" spans="1:3">
      <c r="A14" s="12">
        <v>91123</v>
      </c>
      <c r="B14" s="12" t="s">
        <v>144</v>
      </c>
      <c r="C14" s="12">
        <v>2000</v>
      </c>
    </row>
    <row r="15" spans="1:3">
      <c r="A15" s="12">
        <v>91124</v>
      </c>
      <c r="B15" s="12" t="s">
        <v>145</v>
      </c>
      <c r="C15" s="12">
        <v>2000</v>
      </c>
    </row>
    <row r="16" spans="1:3">
      <c r="A16" s="12">
        <v>91056</v>
      </c>
      <c r="B16" s="12" t="s">
        <v>146</v>
      </c>
      <c r="C16" s="12">
        <v>4000</v>
      </c>
    </row>
    <row r="17" spans="1:3">
      <c r="A17" s="12">
        <v>91014</v>
      </c>
      <c r="B17" s="12" t="s">
        <v>147</v>
      </c>
      <c r="C17" s="12">
        <v>6000</v>
      </c>
    </row>
    <row r="18" spans="1:3">
      <c r="A18" s="12">
        <v>91125</v>
      </c>
      <c r="B18" s="12" t="s">
        <v>148</v>
      </c>
      <c r="C18" s="12">
        <v>4000</v>
      </c>
    </row>
    <row r="19" spans="1:3">
      <c r="A19" s="12">
        <v>90700</v>
      </c>
      <c r="B19" s="12" t="s">
        <v>149</v>
      </c>
      <c r="C19" s="12">
        <v>2000</v>
      </c>
    </row>
    <row r="20" spans="1:3">
      <c r="A20" s="12">
        <v>90884</v>
      </c>
      <c r="B20" s="12" t="s">
        <v>150</v>
      </c>
      <c r="C20" s="12">
        <v>6000</v>
      </c>
    </row>
    <row r="22" spans="1:3">
      <c r="A22" s="32" t="s">
        <v>669</v>
      </c>
      <c r="B22" t="s">
        <v>671</v>
      </c>
    </row>
    <row r="23" spans="1:3">
      <c r="A23" s="17">
        <v>2000</v>
      </c>
      <c r="B23">
        <v>6</v>
      </c>
    </row>
    <row r="24" spans="1:3">
      <c r="A24" s="17">
        <v>4000</v>
      </c>
      <c r="B24">
        <v>5</v>
      </c>
    </row>
    <row r="25" spans="1:3">
      <c r="A25" s="17">
        <v>4750</v>
      </c>
      <c r="B25">
        <v>1</v>
      </c>
    </row>
    <row r="26" spans="1:3">
      <c r="A26" s="17">
        <v>5000</v>
      </c>
      <c r="B26">
        <v>2</v>
      </c>
    </row>
    <row r="27" spans="1:3">
      <c r="A27" s="17">
        <v>6000</v>
      </c>
      <c r="B27">
        <v>4</v>
      </c>
    </row>
    <row r="28" spans="1:3">
      <c r="A28" s="17">
        <v>8000</v>
      </c>
      <c r="B28">
        <v>1</v>
      </c>
    </row>
    <row r="29" spans="1:3">
      <c r="A29" s="17" t="s">
        <v>670</v>
      </c>
      <c r="B29">
        <v>19</v>
      </c>
    </row>
    <row r="31" spans="1:3">
      <c r="C31">
        <f>AVERAGE(C2:C20)</f>
        <v>4144.7368421052633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2DD5-2090-4908-BE94-DC2138AD767E}">
  <dimension ref="A1:F27"/>
  <sheetViews>
    <sheetView workbookViewId="0">
      <selection activeCell="B38" sqref="B38"/>
    </sheetView>
  </sheetViews>
  <sheetFormatPr defaultRowHeight="14.6"/>
  <cols>
    <col min="1" max="1" width="22" bestFit="1" customWidth="1"/>
    <col min="2" max="2" width="27.69140625" bestFit="1" customWidth="1"/>
    <col min="3" max="3" width="35.15234375" customWidth="1"/>
    <col min="4" max="4" width="53.15234375" bestFit="1" customWidth="1"/>
  </cols>
  <sheetData>
    <row r="1" spans="1:5">
      <c r="A1" t="s">
        <v>581</v>
      </c>
      <c r="B1" t="s">
        <v>430</v>
      </c>
      <c r="C1" t="s">
        <v>584</v>
      </c>
      <c r="D1" t="s">
        <v>585</v>
      </c>
      <c r="E1" t="s">
        <v>586</v>
      </c>
    </row>
    <row r="2" spans="1:5">
      <c r="A2" s="23" t="s">
        <v>582</v>
      </c>
      <c r="B2" s="23" t="s">
        <v>431</v>
      </c>
      <c r="C2" s="23" t="s">
        <v>432</v>
      </c>
      <c r="D2" s="23" t="s">
        <v>433</v>
      </c>
      <c r="E2" s="23" t="s">
        <v>434</v>
      </c>
    </row>
    <row r="3" spans="1:5">
      <c r="A3" s="23" t="s">
        <v>582</v>
      </c>
      <c r="B3" s="23" t="s">
        <v>431</v>
      </c>
      <c r="C3" s="23" t="s">
        <v>343</v>
      </c>
      <c r="D3" s="23" t="s">
        <v>587</v>
      </c>
      <c r="E3" s="23" t="s">
        <v>435</v>
      </c>
    </row>
    <row r="4" spans="1:5">
      <c r="A4" s="23" t="s">
        <v>582</v>
      </c>
      <c r="B4" s="23" t="s">
        <v>431</v>
      </c>
      <c r="C4" s="23" t="s">
        <v>436</v>
      </c>
      <c r="D4" s="23" t="s">
        <v>437</v>
      </c>
      <c r="E4" s="23" t="s">
        <v>438</v>
      </c>
    </row>
    <row r="5" spans="1:5">
      <c r="A5" s="23" t="s">
        <v>582</v>
      </c>
      <c r="B5" s="23" t="s">
        <v>439</v>
      </c>
      <c r="C5" s="23" t="s">
        <v>440</v>
      </c>
      <c r="D5" s="23" t="s">
        <v>588</v>
      </c>
      <c r="E5" s="23" t="s">
        <v>441</v>
      </c>
    </row>
    <row r="6" spans="1:5">
      <c r="A6" s="23" t="s">
        <v>582</v>
      </c>
      <c r="B6" s="23" t="s">
        <v>439</v>
      </c>
      <c r="C6" s="23" t="s">
        <v>442</v>
      </c>
      <c r="D6" s="23" t="s">
        <v>443</v>
      </c>
      <c r="E6" s="23" t="s">
        <v>444</v>
      </c>
    </row>
    <row r="7" spans="1:5">
      <c r="A7" s="23" t="s">
        <v>582</v>
      </c>
      <c r="B7" s="23" t="s">
        <v>445</v>
      </c>
      <c r="C7" s="23" t="s">
        <v>71</v>
      </c>
      <c r="D7" s="23" t="s">
        <v>589</v>
      </c>
      <c r="E7" s="23" t="s">
        <v>446</v>
      </c>
    </row>
    <row r="8" spans="1:5">
      <c r="A8" s="23" t="s">
        <v>582</v>
      </c>
      <c r="B8" s="23" t="s">
        <v>445</v>
      </c>
      <c r="C8" s="23" t="s">
        <v>447</v>
      </c>
      <c r="D8" s="23" t="s">
        <v>590</v>
      </c>
      <c r="E8" s="23" t="s">
        <v>448</v>
      </c>
    </row>
    <row r="9" spans="1:5">
      <c r="A9" s="23" t="s">
        <v>582</v>
      </c>
      <c r="B9" s="23" t="s">
        <v>445</v>
      </c>
      <c r="C9" s="23" t="s">
        <v>118</v>
      </c>
      <c r="D9" s="23" t="s">
        <v>591</v>
      </c>
      <c r="E9" s="23" t="s">
        <v>449</v>
      </c>
    </row>
    <row r="10" spans="1:5">
      <c r="A10" s="23" t="s">
        <v>582</v>
      </c>
      <c r="B10" s="23" t="s">
        <v>445</v>
      </c>
      <c r="C10" s="23" t="s">
        <v>450</v>
      </c>
      <c r="D10" s="23" t="s">
        <v>451</v>
      </c>
      <c r="E10" s="23" t="s">
        <v>452</v>
      </c>
    </row>
    <row r="11" spans="1:5">
      <c r="A11" s="23" t="s">
        <v>582</v>
      </c>
      <c r="B11" s="23" t="s">
        <v>445</v>
      </c>
      <c r="C11" s="23" t="s">
        <v>453</v>
      </c>
      <c r="D11" s="23" t="s">
        <v>454</v>
      </c>
      <c r="E11" s="23" t="s">
        <v>455</v>
      </c>
    </row>
    <row r="12" spans="1:5">
      <c r="A12" s="23" t="s">
        <v>582</v>
      </c>
      <c r="B12" s="23" t="s">
        <v>456</v>
      </c>
      <c r="C12" s="23" t="s">
        <v>457</v>
      </c>
      <c r="D12" s="23" t="s">
        <v>458</v>
      </c>
      <c r="E12" s="23" t="s">
        <v>459</v>
      </c>
    </row>
    <row r="13" spans="1:5">
      <c r="A13" s="23" t="s">
        <v>582</v>
      </c>
      <c r="B13" s="23" t="s">
        <v>460</v>
      </c>
      <c r="C13" s="23" t="s">
        <v>461</v>
      </c>
      <c r="D13" s="23" t="s">
        <v>592</v>
      </c>
      <c r="E13" s="23" t="s">
        <v>598</v>
      </c>
    </row>
    <row r="14" spans="1:5">
      <c r="A14" s="23" t="s">
        <v>583</v>
      </c>
      <c r="B14" s="23" t="s">
        <v>462</v>
      </c>
      <c r="C14" s="23" t="s">
        <v>463</v>
      </c>
      <c r="D14" s="23" t="s">
        <v>464</v>
      </c>
      <c r="E14" s="23" t="s">
        <v>465</v>
      </c>
    </row>
    <row r="15" spans="1:5">
      <c r="A15" s="23" t="s">
        <v>583</v>
      </c>
      <c r="B15" s="23" t="s">
        <v>462</v>
      </c>
      <c r="C15" s="23" t="s">
        <v>466</v>
      </c>
      <c r="D15" s="23" t="s">
        <v>593</v>
      </c>
      <c r="E15" s="23" t="s">
        <v>467</v>
      </c>
    </row>
    <row r="16" spans="1:5">
      <c r="A16" s="23" t="s">
        <v>583</v>
      </c>
      <c r="B16" s="23" t="s">
        <v>419</v>
      </c>
      <c r="C16" s="23" t="s">
        <v>468</v>
      </c>
      <c r="D16" s="23" t="s">
        <v>594</v>
      </c>
      <c r="E16" s="23" t="s">
        <v>469</v>
      </c>
    </row>
    <row r="17" spans="1:6">
      <c r="A17" s="23" t="s">
        <v>583</v>
      </c>
      <c r="B17" s="23" t="s">
        <v>419</v>
      </c>
      <c r="C17" s="23" t="s">
        <v>470</v>
      </c>
      <c r="D17" s="23" t="s">
        <v>471</v>
      </c>
      <c r="E17" s="23" t="s">
        <v>472</v>
      </c>
    </row>
    <row r="18" spans="1:6">
      <c r="A18" s="23" t="s">
        <v>583</v>
      </c>
      <c r="B18" s="23" t="s">
        <v>473</v>
      </c>
      <c r="C18" s="23" t="s">
        <v>474</v>
      </c>
      <c r="D18" s="23" t="s">
        <v>1</v>
      </c>
      <c r="E18" s="23" t="s">
        <v>475</v>
      </c>
    </row>
    <row r="19" spans="1:6">
      <c r="A19" s="23" t="s">
        <v>583</v>
      </c>
      <c r="B19" s="23" t="s">
        <v>476</v>
      </c>
      <c r="C19" s="23" t="s">
        <v>477</v>
      </c>
      <c r="D19" s="23" t="s">
        <v>478</v>
      </c>
      <c r="E19" s="23" t="s">
        <v>479</v>
      </c>
    </row>
    <row r="20" spans="1:6">
      <c r="A20" s="23" t="s">
        <v>583</v>
      </c>
      <c r="B20" s="23" t="s">
        <v>476</v>
      </c>
      <c r="C20" s="23" t="s">
        <v>480</v>
      </c>
      <c r="D20" s="23" t="s">
        <v>595</v>
      </c>
      <c r="E20" s="23" t="s">
        <v>481</v>
      </c>
    </row>
    <row r="21" spans="1:6">
      <c r="A21" s="23" t="s">
        <v>583</v>
      </c>
      <c r="B21" s="23" t="s">
        <v>482</v>
      </c>
      <c r="C21" s="23" t="s">
        <v>483</v>
      </c>
      <c r="D21" s="23" t="s">
        <v>596</v>
      </c>
      <c r="E21" s="23" t="s">
        <v>484</v>
      </c>
    </row>
    <row r="22" spans="1:6">
      <c r="A22" s="23" t="s">
        <v>583</v>
      </c>
      <c r="B22" s="23" t="s">
        <v>485</v>
      </c>
      <c r="C22" s="23" t="s">
        <v>486</v>
      </c>
      <c r="D22" s="23" t="s">
        <v>597</v>
      </c>
      <c r="E22" s="23" t="s">
        <v>487</v>
      </c>
    </row>
    <row r="23" spans="1:6">
      <c r="A23" s="23" t="s">
        <v>583</v>
      </c>
      <c r="B23" s="23" t="s">
        <v>488</v>
      </c>
      <c r="C23" s="23" t="s">
        <v>489</v>
      </c>
      <c r="D23" s="23" t="s">
        <v>490</v>
      </c>
      <c r="E23" s="23" t="s">
        <v>491</v>
      </c>
    </row>
    <row r="24" spans="1:6">
      <c r="A24" s="23"/>
      <c r="B24" s="23"/>
      <c r="C24" s="23"/>
      <c r="D24" s="23"/>
      <c r="F24" s="23"/>
    </row>
    <row r="25" spans="1:6">
      <c r="A25" s="23"/>
      <c r="B25" s="23"/>
      <c r="C25" s="23"/>
      <c r="D25" s="23"/>
      <c r="F25" s="23"/>
    </row>
    <row r="26" spans="1:6">
      <c r="A26" s="23"/>
      <c r="B26" s="23"/>
      <c r="C26" s="23"/>
      <c r="D26" s="23"/>
    </row>
    <row r="27" spans="1:6">
      <c r="A27" s="23"/>
      <c r="B27" s="23"/>
      <c r="C27" s="23"/>
      <c r="D27" s="2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8B9D3-8135-4FA5-90C9-095AA33D0841}">
  <dimension ref="A1:B9"/>
  <sheetViews>
    <sheetView workbookViewId="0">
      <selection sqref="A1:A3"/>
    </sheetView>
  </sheetViews>
  <sheetFormatPr defaultRowHeight="14.6"/>
  <sheetData>
    <row r="1" spans="1:2">
      <c r="A1" t="s">
        <v>497</v>
      </c>
    </row>
    <row r="2" spans="1:2">
      <c r="A2" t="s">
        <v>498</v>
      </c>
    </row>
    <row r="3" spans="1:2">
      <c r="A3" t="s">
        <v>499</v>
      </c>
    </row>
    <row r="5" spans="1:2">
      <c r="A5" s="12" t="s">
        <v>544</v>
      </c>
      <c r="B5" t="s">
        <v>548</v>
      </c>
    </row>
    <row r="6" spans="1:2">
      <c r="A6" s="12" t="s">
        <v>545</v>
      </c>
      <c r="B6" t="s">
        <v>549</v>
      </c>
    </row>
    <row r="8" spans="1:2">
      <c r="A8" t="s">
        <v>502</v>
      </c>
    </row>
    <row r="9" spans="1:2">
      <c r="A9" t="s">
        <v>503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workbookViewId="0">
      <selection activeCell="B24" sqref="B24"/>
    </sheetView>
  </sheetViews>
  <sheetFormatPr defaultRowHeight="14.6"/>
  <cols>
    <col min="1" max="1" width="65.61328125" customWidth="1"/>
    <col min="2" max="4" width="35.84375" customWidth="1"/>
  </cols>
  <sheetData>
    <row r="1" spans="1:3">
      <c r="A1" s="1" t="s">
        <v>64</v>
      </c>
      <c r="B1" s="1" t="s">
        <v>65</v>
      </c>
      <c r="C1" t="s">
        <v>599</v>
      </c>
    </row>
    <row r="2" spans="1:3">
      <c r="A2" t="s">
        <v>66</v>
      </c>
      <c r="B2" s="2" t="s">
        <v>66</v>
      </c>
      <c r="C2" t="s">
        <v>600</v>
      </c>
    </row>
    <row r="3" spans="1:3">
      <c r="A3" t="s">
        <v>67</v>
      </c>
      <c r="B3" t="s">
        <v>68</v>
      </c>
    </row>
    <row r="4" spans="1:3">
      <c r="A4" t="s">
        <v>69</v>
      </c>
      <c r="B4" s="3" t="s">
        <v>69</v>
      </c>
      <c r="C4" t="s">
        <v>601</v>
      </c>
    </row>
    <row r="5" spans="1:3">
      <c r="A5" t="s">
        <v>70</v>
      </c>
      <c r="B5" s="3" t="s">
        <v>70</v>
      </c>
      <c r="C5" t="s">
        <v>602</v>
      </c>
    </row>
    <row r="6" spans="1:3">
      <c r="A6" t="s">
        <v>71</v>
      </c>
      <c r="B6" s="3" t="s">
        <v>71</v>
      </c>
    </row>
    <row r="7" spans="1:3">
      <c r="A7" t="s">
        <v>72</v>
      </c>
      <c r="B7" s="3" t="s">
        <v>72</v>
      </c>
    </row>
    <row r="8" spans="1:3">
      <c r="A8" t="s">
        <v>73</v>
      </c>
      <c r="B8" s="3" t="s">
        <v>73</v>
      </c>
    </row>
    <row r="9" spans="1:3">
      <c r="A9" t="s">
        <v>74</v>
      </c>
      <c r="B9" s="3" t="s">
        <v>74</v>
      </c>
    </row>
    <row r="10" spans="1:3">
      <c r="A10" t="s">
        <v>75</v>
      </c>
      <c r="B10" s="3" t="s">
        <v>75</v>
      </c>
    </row>
    <row r="11" spans="1:3">
      <c r="A11" t="s">
        <v>76</v>
      </c>
      <c r="B11" t="s">
        <v>77</v>
      </c>
    </row>
    <row r="12" spans="1:3">
      <c r="A12" t="s">
        <v>78</v>
      </c>
      <c r="B12" s="3" t="s">
        <v>78</v>
      </c>
    </row>
    <row r="13" spans="1:3">
      <c r="A13" t="s">
        <v>79</v>
      </c>
      <c r="B13" t="s">
        <v>80</v>
      </c>
    </row>
    <row r="14" spans="1:3">
      <c r="A14" t="s">
        <v>81</v>
      </c>
      <c r="B14" s="3" t="s">
        <v>81</v>
      </c>
    </row>
    <row r="15" spans="1:3">
      <c r="A15" t="s">
        <v>82</v>
      </c>
      <c r="B15" s="3" t="s">
        <v>82</v>
      </c>
    </row>
    <row r="16" spans="1:3">
      <c r="A16" t="s">
        <v>83</v>
      </c>
      <c r="B16" s="3" t="s">
        <v>83</v>
      </c>
    </row>
    <row r="17" spans="1:2">
      <c r="A17" t="s">
        <v>84</v>
      </c>
      <c r="B17" s="3" t="s">
        <v>84</v>
      </c>
    </row>
    <row r="18" spans="1:2">
      <c r="A18" t="s">
        <v>85</v>
      </c>
      <c r="B18" t="s">
        <v>86</v>
      </c>
    </row>
    <row r="19" spans="1:2">
      <c r="A19" t="s">
        <v>87</v>
      </c>
      <c r="B19" s="3" t="s">
        <v>87</v>
      </c>
    </row>
    <row r="20" spans="1:2">
      <c r="A20" t="s">
        <v>88</v>
      </c>
      <c r="B20" s="3" t="s">
        <v>88</v>
      </c>
    </row>
    <row r="21" spans="1:2">
      <c r="A21" t="s">
        <v>89</v>
      </c>
      <c r="B21" s="3" t="s">
        <v>89</v>
      </c>
    </row>
    <row r="22" spans="1:2">
      <c r="A22" t="s">
        <v>90</v>
      </c>
      <c r="B22" s="3" t="s">
        <v>90</v>
      </c>
    </row>
    <row r="23" spans="1:2">
      <c r="A23" t="s">
        <v>91</v>
      </c>
      <c r="B23" s="3" t="s">
        <v>91</v>
      </c>
    </row>
    <row r="24" spans="1:2">
      <c r="A24" t="s">
        <v>92</v>
      </c>
      <c r="B24" s="3" t="s">
        <v>92</v>
      </c>
    </row>
    <row r="25" spans="1:2">
      <c r="A25" t="s">
        <v>93</v>
      </c>
      <c r="B25" s="3" t="s">
        <v>93</v>
      </c>
    </row>
    <row r="26" spans="1:2">
      <c r="A26" t="s">
        <v>94</v>
      </c>
      <c r="B26" s="3" t="s">
        <v>94</v>
      </c>
    </row>
    <row r="27" spans="1:2">
      <c r="A27" t="s">
        <v>95</v>
      </c>
      <c r="B27" s="3" t="s">
        <v>95</v>
      </c>
    </row>
    <row r="28" spans="1:2">
      <c r="A28" t="s">
        <v>96</v>
      </c>
      <c r="B28" s="3" t="s">
        <v>96</v>
      </c>
    </row>
    <row r="29" spans="1:2">
      <c r="A29" t="s">
        <v>97</v>
      </c>
      <c r="B29" s="3" t="s">
        <v>97</v>
      </c>
    </row>
    <row r="30" spans="1:2">
      <c r="A30" t="s">
        <v>98</v>
      </c>
      <c r="B30" t="s">
        <v>99</v>
      </c>
    </row>
    <row r="31" spans="1:2">
      <c r="A31" t="s">
        <v>100</v>
      </c>
      <c r="B31" t="s">
        <v>99</v>
      </c>
    </row>
    <row r="32" spans="1:2">
      <c r="A32" t="s">
        <v>101</v>
      </c>
      <c r="B32" s="3" t="s">
        <v>101</v>
      </c>
    </row>
    <row r="33" spans="1:2">
      <c r="A33" t="s">
        <v>102</v>
      </c>
      <c r="B33" s="3" t="s">
        <v>102</v>
      </c>
    </row>
    <row r="34" spans="1:2">
      <c r="A34" t="s">
        <v>103</v>
      </c>
      <c r="B34" s="3" t="s">
        <v>103</v>
      </c>
    </row>
    <row r="35" spans="1:2">
      <c r="A35" t="s">
        <v>104</v>
      </c>
      <c r="B35" s="3" t="s">
        <v>104</v>
      </c>
    </row>
    <row r="36" spans="1:2">
      <c r="A36" t="s">
        <v>105</v>
      </c>
      <c r="B36" s="3" t="s">
        <v>105</v>
      </c>
    </row>
    <row r="37" spans="1:2">
      <c r="A37" t="s">
        <v>106</v>
      </c>
      <c r="B37" s="3" t="s">
        <v>106</v>
      </c>
    </row>
    <row r="38" spans="1:2">
      <c r="A38" t="s">
        <v>107</v>
      </c>
      <c r="B38" s="3" t="s">
        <v>107</v>
      </c>
    </row>
    <row r="39" spans="1:2">
      <c r="A39" t="s">
        <v>108</v>
      </c>
      <c r="B39" s="3" t="s">
        <v>108</v>
      </c>
    </row>
    <row r="40" spans="1:2">
      <c r="A40" t="s">
        <v>109</v>
      </c>
      <c r="B40" s="3" t="s">
        <v>109</v>
      </c>
    </row>
    <row r="41" spans="1:2">
      <c r="A41" t="s">
        <v>110</v>
      </c>
      <c r="B41" t="s">
        <v>99</v>
      </c>
    </row>
    <row r="42" spans="1:2">
      <c r="A42" t="s">
        <v>111</v>
      </c>
      <c r="B42" s="3" t="s">
        <v>111</v>
      </c>
    </row>
    <row r="43" spans="1:2">
      <c r="A43" t="s">
        <v>112</v>
      </c>
      <c r="B43" s="3" t="s">
        <v>112</v>
      </c>
    </row>
    <row r="44" spans="1:2">
      <c r="A44" t="s">
        <v>113</v>
      </c>
      <c r="B44" s="3" t="s">
        <v>113</v>
      </c>
    </row>
    <row r="45" spans="1:2">
      <c r="A45" t="s">
        <v>114</v>
      </c>
      <c r="B45" s="3" t="s">
        <v>114</v>
      </c>
    </row>
    <row r="46" spans="1:2">
      <c r="A46" t="s">
        <v>115</v>
      </c>
      <c r="B46" s="3" t="s">
        <v>115</v>
      </c>
    </row>
    <row r="47" spans="1:2">
      <c r="A47" t="s">
        <v>116</v>
      </c>
      <c r="B47" t="s">
        <v>99</v>
      </c>
    </row>
    <row r="48" spans="1:2">
      <c r="A48" t="s">
        <v>117</v>
      </c>
      <c r="B48" s="3" t="s">
        <v>117</v>
      </c>
    </row>
    <row r="49" spans="1:2">
      <c r="A49" t="s">
        <v>118</v>
      </c>
      <c r="B49" s="3" t="s">
        <v>118</v>
      </c>
    </row>
    <row r="50" spans="1:2">
      <c r="A50" t="s">
        <v>119</v>
      </c>
      <c r="B50" s="3" t="s">
        <v>119</v>
      </c>
    </row>
    <row r="51" spans="1:2">
      <c r="A51" t="s">
        <v>120</v>
      </c>
      <c r="B51" s="3" t="s">
        <v>120</v>
      </c>
    </row>
    <row r="52" spans="1:2">
      <c r="A52" t="s">
        <v>121</v>
      </c>
      <c r="B52" s="3" t="s">
        <v>121</v>
      </c>
    </row>
    <row r="53" spans="1:2">
      <c r="A53" t="s">
        <v>122</v>
      </c>
      <c r="B53" s="3" t="s">
        <v>122</v>
      </c>
    </row>
    <row r="54" spans="1:2">
      <c r="A54" t="s">
        <v>123</v>
      </c>
      <c r="B54" s="3" t="s">
        <v>123</v>
      </c>
    </row>
    <row r="55" spans="1:2">
      <c r="A55" t="s">
        <v>124</v>
      </c>
      <c r="B55" t="s">
        <v>125</v>
      </c>
    </row>
    <row r="56" spans="1:2">
      <c r="A56" t="s">
        <v>126</v>
      </c>
      <c r="B56" s="3" t="s">
        <v>126</v>
      </c>
    </row>
    <row r="57" spans="1:2">
      <c r="A57" t="s">
        <v>127</v>
      </c>
      <c r="B57" s="2" t="s">
        <v>127</v>
      </c>
    </row>
    <row r="60" spans="1:2">
      <c r="A60" t="s">
        <v>128</v>
      </c>
    </row>
  </sheetData>
  <hyperlinks>
    <hyperlink ref="B2" r:id="rId1" display="http://ahgrover.com/employment/" xr:uid="{29AB34A9-86AC-4BEA-8FEF-B38CA70073A2}"/>
    <hyperlink ref="B4" r:id="rId2" display="https://www.blanecasey.com/about-us/careers/" xr:uid="{104FDFF5-E150-42FF-BDD3-CE3A36AD7E6F}"/>
    <hyperlink ref="B5" r:id="rId3" display="https://bowmanconstructors.com/careers-at-bowman/" xr:uid="{CA68CD89-509F-4BDC-B14D-590D170DC2D0}"/>
    <hyperlink ref="B6" r:id="rId4" display="https://www.cianbro.com/careers-list" xr:uid="{3BE92966-1DC7-42FF-95A9-5C560BE89589}"/>
    <hyperlink ref="B7" r:id="rId5" display="https://coastalroadrepair.com/employment/" xr:uid="{ACE10316-EC90-4B0D-96CF-56993C3CF7EA}"/>
    <hyperlink ref="B8" r:id="rId6" location="jobs" display="https://apply.workable.com/consigli-construction-1/?lng=en - jobs" xr:uid="{0F022DB4-CDF9-4D56-95E9-8346CF1C4D38}"/>
    <hyperlink ref="B9" r:id="rId7" display="https://www.cpmconstructors.com/job-openings" xr:uid="{3E53735B-40E7-4940-844E-CEFE31F7B2C8}"/>
    <hyperlink ref="B10" r:id="rId8" display="https://crookerconstruction.com/current-opportunities/" xr:uid="{81CC300D-30BF-4C19-B6D8-57E7DC8CCDB3}"/>
    <hyperlink ref="B12" r:id="rId9" display="https://dearborn-brothers-construction.engagedtas.com/job/769641/multiple-positions" xr:uid="{8545A9EC-88AB-46A1-A137-6DFFE333E15D}"/>
    <hyperlink ref="B14" r:id="rId10" display="https://www.cemmaine.com/apply-now" xr:uid="{DA95C4CE-E749-4E45-BF74-A88BB4621CA4}"/>
    <hyperlink ref="B15" r:id="rId11" display="https://users.neo.registeredsite.com/2/3/3/17486332/assets/Employee_Application.pdf" xr:uid="{B03DBC21-0921-475F-9A90-FD5F76CA0094}"/>
    <hyperlink ref="B16" r:id="rId12" display="https://elvining.com/careers-at-el-vining.html" xr:uid="{D97D1155-3758-4C75-A05A-AB322AF59C5C}"/>
    <hyperlink ref="B17" r:id="rId13" display="https://electriclight.net/careers" xr:uid="{45DA5672-08E5-4077-B53F-1791CC0DA06D}"/>
    <hyperlink ref="B19" r:id="rId14" display="https://www.gannestonconstruction.com/careers/" xr:uid="{7FBC52DE-70AA-45CD-A088-80984E11BC92}"/>
    <hyperlink ref="B20" r:id="rId15" display="https://gendroncorp.com/application/" xr:uid="{253ECFC6-6334-4E01-AE59-CA377EE55F77}"/>
    <hyperlink ref="B21" r:id="rId16" display="https://vaughndthibodeau.com/employment-application-2/" xr:uid="{47D971C5-589D-49A3-8EB8-1C4139E7E8F6}"/>
    <hyperlink ref="B22" r:id="rId17" display="https://gliddenpaving.com/employment" xr:uid="{84AF4764-37E3-4194-BC06-4CFB316B86D2}"/>
    <hyperlink ref="B23" r:id="rId18" display="https://www.gcmaine.com/contact-us/employment/" xr:uid="{E1054A02-FC7C-487E-A573-25D6EC751020}"/>
    <hyperlink ref="B24" r:id="rId19" display="https://www.gsgravel.com/careers/?srsltid=AfmBOopciLdC3eminrn4Ga5WctfzpOVpwnNOYMf93EHCtdQmhL66heTo" xr:uid="{A3E4EC50-C4B9-4FC4-A063-24AE618779B9}"/>
    <hyperlink ref="B25" r:id="rId20" display="https://greatfallsinc.com/careers/" xr:uid="{7CE99991-E86E-465A-B674-8AC162281D69}"/>
    <hyperlink ref="B26" r:id="rId21" display="https://www.hagarenterprises.com/employment" xr:uid="{60B0264D-148D-471A-A28C-DA96BC908F62}"/>
    <hyperlink ref="B27" r:id="rId22" display="https://hecallahan.com/employment/" xr:uid="{CD767145-9C4E-4456-A02B-FCFAEB77DEBF}"/>
    <hyperlink ref="B28" r:id="rId23" display="https://www.hopkinslandscapes.com/PDF/employment-app.pdf" xr:uid="{05A5E4B4-1029-4C5F-A874-3020E5640ACE}"/>
    <hyperlink ref="B29" r:id="rId24" display="https://www.hughesbrosinc.com/construction-employment" xr:uid="{68E9BAE7-7DBD-44ED-8CFA-2D91E8C3A57E}"/>
    <hyperlink ref="B32" r:id="rId25" display="https://knowlesindustrial.com/join-our-team-2/" xr:uid="{A2C9A1BB-C7B2-492F-8809-30C3F713C921}"/>
    <hyperlink ref="B33" r:id="rId26" display="https://landryfrenchconstruction.com/careers/" xr:uid="{E15EC4F9-0E58-494E-832C-7335DB258F12}"/>
    <hyperlink ref="B34" r:id="rId27" display="https://langfordandlow.com/careers/" xr:uid="{FA34BB65-7A0B-4B70-ACED-7B4AE811198C}"/>
    <hyperlink ref="B35" r:id="rId28" display="https://www.maineearth.com/Job-Opportunities/" xr:uid="{97355AEF-EFA1-49D2-9555-9D2AB7841D0A}"/>
    <hyperlink ref="B36" r:id="rId29" display="https://mcgeeconstruction.com/careers" xr:uid="{8D6C1EB1-B5B9-4DF2-8B9A-071374E6AFE9}"/>
    <hyperlink ref="B37" r:id="rId30" display="https://mcgillaninc.com/employment/" xr:uid="{35C1F3BB-CFB0-4838-952B-19FB2D0B8FEC}"/>
    <hyperlink ref="B38" r:id="rId31" display="https://www.moulison.com/career-opportunities" xr:uid="{C7C43D07-DC44-4A87-8BF8-E30D723778E2}"/>
    <hyperlink ref="B39" r:id="rId32" display="https://neinfrastructure.com/employment/" xr:uid="{68B0EE9C-8290-4A8C-8DA8-B8CCE9E4719F}"/>
    <hyperlink ref="B40" r:id="rId33" display="https://www.nickoday.com/careers" xr:uid="{195C1346-DFBC-4DED-80E3-14A43F43FB46}"/>
    <hyperlink ref="B42" r:id="rId34" display="https://pikeindustries.com/careers/" xr:uid="{3FE41BB0-50C2-4925-BD67-3007F79AFFBC}"/>
    <hyperlink ref="B43" r:id="rId35" display="http://prattandsons.net/apply-online/" xr:uid="{415AAD2F-3190-4756-8FDC-A48F706D3072}"/>
    <hyperlink ref="B44" r:id="rId36" display="http://www.prockmarinecompany.com/wp-content/uploads/2012/10/Employment-Application.pdf" xr:uid="{8E04ED7F-962C-4624-976E-AD39E1DADD34}"/>
    <hyperlink ref="B45" r:id="rId37" display="https://rfjordanandsons.com/employment" xr:uid="{40C13D1B-0EC8-4C40-A38A-B9897F14A9FC}"/>
    <hyperlink ref="B46" r:id="rId38" display="https://rjgrondin.com/careers/?gad_source=1&amp;gad_campaignid=21338448452&amp;gbraid=0AAAAABd1HVYvwWX-eVpW9OeU2ZpQhD2IT&amp;gclid=CjwKCAiAqKbMBhBmEiwAZ3UboJ2DbNtRw0qfB20v2mnzzdKQDsRE-7aseEQlOk-Rn6oArZEOG9FqexoCWJIQAvD_BwE" xr:uid="{0DFE7855-446D-4A23-9A13-1290F99F322C}"/>
    <hyperlink ref="B48" r:id="rId39" display="https://www.rangerconstruction.com/careers/" xr:uid="{EC76D87D-B6B6-4784-AEDD-6324BFBFF434}"/>
    <hyperlink ref="B49" r:id="rId40" display="https://reed-reed.com/jobs/" xr:uid="{2A2C7EE4-A033-41D6-A8EB-A3A5F1E6AD62}"/>
    <hyperlink ref="B50" r:id="rId41" display="https://sargent.us/careers/" xr:uid="{2CF8379B-8A43-4106-AE88-4D62E0C800D6}"/>
    <hyperlink ref="B51" r:id="rId42" display="https://www.scottcon.com/" xr:uid="{6AD235F3-D717-4814-B37E-D2160B29CB55}"/>
    <hyperlink ref="B52" r:id="rId43" display="https://www.shawbrothers.com/careers/" xr:uid="{363A040F-81AE-465A-8FCE-D7174BC05F7A}"/>
    <hyperlink ref="B53" r:id="rId44" display="https://www.sheridanconstruction.com/careers/" xr:uid="{A0F80C11-467D-4DCC-9F8A-37EE967BD081}"/>
    <hyperlink ref="B54" r:id="rId45" display="https://soderbergconstruction.com/employment-application/" xr:uid="{E52E9E36-C517-4C26-ADEA-62417F8902D7}"/>
    <hyperlink ref="B56" r:id="rId46" display="https://tbuckconstruction.com/careers" xr:uid="{6DF6E5BC-C51F-4D90-882C-0D0D364F84E0}"/>
    <hyperlink ref="B57" r:id="rId47" display="https://www.wymansimpsoninc.com/employment" xr:uid="{C22C0CFF-661D-4A79-891D-060E48B989E0}"/>
  </hyperlinks>
  <pageMargins left="0.75" right="0.75" top="1" bottom="1" header="0.5" footer="0.5"/>
  <pageSetup orientation="portrait" r:id="rId4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10743-E9D8-4073-8D85-C99AC3FA7A56}">
  <dimension ref="A2"/>
  <sheetViews>
    <sheetView workbookViewId="0">
      <selection activeCell="A2" sqref="A2"/>
    </sheetView>
  </sheetViews>
  <sheetFormatPr defaultRowHeight="14.6"/>
  <sheetData>
    <row r="2" spans="1:1">
      <c r="A2" s="2" t="s">
        <v>129</v>
      </c>
    </row>
  </sheetData>
  <hyperlinks>
    <hyperlink ref="A2" r:id="rId1" xr:uid="{EEFF7FDC-17AF-408C-8368-D3816FE9D5C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4A88-2130-4F4A-896E-76DD18A11CAA}">
  <dimension ref="A1:M226"/>
  <sheetViews>
    <sheetView tabSelected="1" topLeftCell="F1" workbookViewId="0">
      <selection activeCell="I10" sqref="I10"/>
    </sheetView>
  </sheetViews>
  <sheetFormatPr defaultRowHeight="14.6"/>
  <cols>
    <col min="1" max="1" width="22.84375" style="5" customWidth="1"/>
    <col min="2" max="2" width="39.84375" style="5" bestFit="1" customWidth="1"/>
    <col min="7" max="7" width="18.3828125" bestFit="1" customWidth="1"/>
    <col min="8" max="9" width="21.23046875" bestFit="1" customWidth="1"/>
  </cols>
  <sheetData>
    <row r="1" spans="1:13">
      <c r="A1" s="5" t="s">
        <v>151</v>
      </c>
    </row>
    <row r="2" spans="1:13" ht="15.9">
      <c r="A2" s="5" t="s">
        <v>152</v>
      </c>
      <c r="B2" s="6"/>
    </row>
    <row r="3" spans="1:13" ht="15.9">
      <c r="B3" s="7"/>
      <c r="K3" t="s">
        <v>736</v>
      </c>
      <c r="L3" t="s">
        <v>737</v>
      </c>
      <c r="M3" t="s">
        <v>738</v>
      </c>
    </row>
    <row r="4" spans="1:13" ht="20.6">
      <c r="A4" s="8" t="s">
        <v>153</v>
      </c>
      <c r="B4" s="8" t="s">
        <v>154</v>
      </c>
      <c r="K4" s="9" t="s">
        <v>156</v>
      </c>
      <c r="L4" t="s">
        <v>66</v>
      </c>
      <c r="M4" s="23" t="s">
        <v>432</v>
      </c>
    </row>
    <row r="5" spans="1:13" ht="15.9">
      <c r="A5" s="5" t="s">
        <v>155</v>
      </c>
      <c r="B5" s="9" t="s">
        <v>156</v>
      </c>
      <c r="K5" s="9" t="s">
        <v>157</v>
      </c>
      <c r="L5" t="s">
        <v>67</v>
      </c>
      <c r="M5" s="23" t="s">
        <v>343</v>
      </c>
    </row>
    <row r="6" spans="1:13" ht="15.9">
      <c r="A6" s="10" t="s">
        <v>155</v>
      </c>
      <c r="B6" s="9" t="s">
        <v>157</v>
      </c>
      <c r="K6" s="9" t="s">
        <v>158</v>
      </c>
      <c r="L6" t="s">
        <v>69</v>
      </c>
      <c r="M6" s="23" t="s">
        <v>436</v>
      </c>
    </row>
    <row r="7" spans="1:13" ht="15.9">
      <c r="A7" s="10" t="s">
        <v>155</v>
      </c>
      <c r="B7" s="9" t="s">
        <v>158</v>
      </c>
      <c r="K7" s="9" t="s">
        <v>159</v>
      </c>
      <c r="L7" t="s">
        <v>70</v>
      </c>
      <c r="M7" s="23" t="s">
        <v>440</v>
      </c>
    </row>
    <row r="8" spans="1:13" ht="15.9">
      <c r="A8" s="10" t="s">
        <v>155</v>
      </c>
      <c r="B8" s="9" t="s">
        <v>159</v>
      </c>
      <c r="G8" s="32" t="s">
        <v>669</v>
      </c>
      <c r="H8" t="s">
        <v>735</v>
      </c>
      <c r="K8" s="9" t="s">
        <v>160</v>
      </c>
      <c r="L8" t="s">
        <v>71</v>
      </c>
      <c r="M8" s="23" t="s">
        <v>442</v>
      </c>
    </row>
    <row r="9" spans="1:13" ht="15.9">
      <c r="A9" s="10" t="s">
        <v>155</v>
      </c>
      <c r="B9" s="9" t="s">
        <v>160</v>
      </c>
      <c r="G9" s="17" t="s">
        <v>372</v>
      </c>
      <c r="H9">
        <v>2</v>
      </c>
      <c r="I9">
        <f>SUM(H9:H13)</f>
        <v>222</v>
      </c>
      <c r="K9" s="9" t="s">
        <v>70</v>
      </c>
      <c r="L9" t="s">
        <v>72</v>
      </c>
      <c r="M9" s="23" t="s">
        <v>71</v>
      </c>
    </row>
    <row r="10" spans="1:13" ht="15.9">
      <c r="A10" s="10" t="s">
        <v>155</v>
      </c>
      <c r="B10" s="9" t="s">
        <v>70</v>
      </c>
      <c r="G10" s="17" t="s">
        <v>155</v>
      </c>
      <c r="H10">
        <v>60</v>
      </c>
      <c r="K10" s="9" t="s">
        <v>161</v>
      </c>
      <c r="L10" t="s">
        <v>73</v>
      </c>
      <c r="M10" s="23" t="s">
        <v>447</v>
      </c>
    </row>
    <row r="11" spans="1:13" ht="15.9">
      <c r="A11" s="10" t="s">
        <v>155</v>
      </c>
      <c r="B11" s="9" t="s">
        <v>161</v>
      </c>
      <c r="G11" s="17" t="s">
        <v>313</v>
      </c>
      <c r="H11">
        <v>58</v>
      </c>
      <c r="K11" s="9" t="s">
        <v>162</v>
      </c>
      <c r="L11" t="s">
        <v>74</v>
      </c>
      <c r="M11" s="23" t="s">
        <v>118</v>
      </c>
    </row>
    <row r="12" spans="1:13" ht="15.9">
      <c r="A12" s="10" t="s">
        <v>155</v>
      </c>
      <c r="B12" s="9" t="s">
        <v>162</v>
      </c>
      <c r="G12" s="17" t="s">
        <v>210</v>
      </c>
      <c r="H12">
        <v>67</v>
      </c>
      <c r="K12" s="9" t="s">
        <v>163</v>
      </c>
      <c r="L12" t="s">
        <v>75</v>
      </c>
      <c r="M12" s="23" t="s">
        <v>450</v>
      </c>
    </row>
    <row r="13" spans="1:13" ht="15.9">
      <c r="A13" s="10" t="s">
        <v>155</v>
      </c>
      <c r="B13" s="9" t="s">
        <v>163</v>
      </c>
      <c r="G13" s="17" t="s">
        <v>277</v>
      </c>
      <c r="H13">
        <v>35</v>
      </c>
      <c r="K13" s="9" t="s">
        <v>164</v>
      </c>
      <c r="L13" t="s">
        <v>76</v>
      </c>
      <c r="M13" s="23" t="s">
        <v>453</v>
      </c>
    </row>
    <row r="14" spans="1:13" ht="15.9">
      <c r="A14" s="10" t="s">
        <v>155</v>
      </c>
      <c r="B14" s="9" t="s">
        <v>164</v>
      </c>
      <c r="G14" s="17" t="s">
        <v>670</v>
      </c>
      <c r="H14">
        <v>222</v>
      </c>
      <c r="K14" s="9" t="s">
        <v>165</v>
      </c>
      <c r="L14" t="s">
        <v>78</v>
      </c>
      <c r="M14" s="23" t="s">
        <v>457</v>
      </c>
    </row>
    <row r="15" spans="1:13" ht="15.9">
      <c r="A15" s="10" t="s">
        <v>155</v>
      </c>
      <c r="B15" s="9" t="s">
        <v>165</v>
      </c>
      <c r="K15" s="9" t="s">
        <v>166</v>
      </c>
      <c r="L15" t="s">
        <v>79</v>
      </c>
      <c r="M15" s="23" t="s">
        <v>461</v>
      </c>
    </row>
    <row r="16" spans="1:13" ht="15.9">
      <c r="A16" s="10" t="s">
        <v>155</v>
      </c>
      <c r="B16" s="9" t="s">
        <v>166</v>
      </c>
      <c r="K16" s="9" t="s">
        <v>167</v>
      </c>
      <c r="L16" t="s">
        <v>81</v>
      </c>
      <c r="M16" s="23" t="s">
        <v>463</v>
      </c>
    </row>
    <row r="17" spans="1:13" ht="15.9">
      <c r="A17" s="10" t="s">
        <v>155</v>
      </c>
      <c r="B17" s="9" t="s">
        <v>167</v>
      </c>
      <c r="K17" s="9" t="s">
        <v>74</v>
      </c>
      <c r="L17" t="s">
        <v>82</v>
      </c>
      <c r="M17" s="23" t="s">
        <v>466</v>
      </c>
    </row>
    <row r="18" spans="1:13" ht="15.9">
      <c r="A18" s="10" t="s">
        <v>155</v>
      </c>
      <c r="B18" s="9" t="s">
        <v>74</v>
      </c>
      <c r="K18" s="9" t="s">
        <v>168</v>
      </c>
      <c r="L18" t="s">
        <v>83</v>
      </c>
      <c r="M18" s="23" t="s">
        <v>468</v>
      </c>
    </row>
    <row r="19" spans="1:13" ht="15.9">
      <c r="A19" s="10" t="s">
        <v>155</v>
      </c>
      <c r="B19" s="9" t="s">
        <v>168</v>
      </c>
      <c r="K19" s="9" t="s">
        <v>169</v>
      </c>
      <c r="L19" t="s">
        <v>84</v>
      </c>
      <c r="M19" s="23" t="s">
        <v>470</v>
      </c>
    </row>
    <row r="20" spans="1:13" ht="15.9">
      <c r="A20" s="10" t="s">
        <v>155</v>
      </c>
      <c r="B20" s="9" t="s">
        <v>169</v>
      </c>
      <c r="K20" s="9" t="s">
        <v>170</v>
      </c>
      <c r="L20" t="s">
        <v>85</v>
      </c>
      <c r="M20" s="23" t="s">
        <v>474</v>
      </c>
    </row>
    <row r="21" spans="1:13" ht="15.9">
      <c r="A21" s="10" t="s">
        <v>155</v>
      </c>
      <c r="B21" s="9" t="s">
        <v>170</v>
      </c>
      <c r="K21" s="9" t="s">
        <v>171</v>
      </c>
      <c r="L21" t="s">
        <v>87</v>
      </c>
      <c r="M21" s="23" t="s">
        <v>477</v>
      </c>
    </row>
    <row r="22" spans="1:13" ht="15.9">
      <c r="A22" s="10" t="s">
        <v>155</v>
      </c>
      <c r="B22" s="9" t="s">
        <v>171</v>
      </c>
      <c r="K22" s="9" t="s">
        <v>172</v>
      </c>
      <c r="L22" t="s">
        <v>88</v>
      </c>
      <c r="M22" s="23" t="s">
        <v>480</v>
      </c>
    </row>
    <row r="23" spans="1:13" ht="15.9">
      <c r="A23" s="10" t="s">
        <v>155</v>
      </c>
      <c r="B23" s="9" t="s">
        <v>172</v>
      </c>
      <c r="K23" s="9" t="s">
        <v>173</v>
      </c>
      <c r="L23" t="s">
        <v>89</v>
      </c>
      <c r="M23" s="23" t="s">
        <v>483</v>
      </c>
    </row>
    <row r="24" spans="1:13" ht="15.9">
      <c r="A24" s="10" t="s">
        <v>155</v>
      </c>
      <c r="B24" s="9" t="s">
        <v>173</v>
      </c>
      <c r="K24" s="9" t="s">
        <v>174</v>
      </c>
      <c r="L24" t="s">
        <v>90</v>
      </c>
      <c r="M24" s="23" t="s">
        <v>486</v>
      </c>
    </row>
    <row r="25" spans="1:13" ht="15.9">
      <c r="A25" s="10" t="s">
        <v>155</v>
      </c>
      <c r="B25" s="9" t="s">
        <v>174</v>
      </c>
      <c r="K25" s="9" t="s">
        <v>175</v>
      </c>
      <c r="L25" t="s">
        <v>91</v>
      </c>
      <c r="M25" s="23" t="s">
        <v>489</v>
      </c>
    </row>
    <row r="26" spans="1:13" ht="15.9">
      <c r="A26" s="10" t="s">
        <v>155</v>
      </c>
      <c r="B26" s="9" t="s">
        <v>175</v>
      </c>
      <c r="K26" s="9" t="s">
        <v>176</v>
      </c>
      <c r="L26" t="s">
        <v>92</v>
      </c>
    </row>
    <row r="27" spans="1:13" ht="15.9">
      <c r="A27" s="10" t="s">
        <v>155</v>
      </c>
      <c r="B27" s="9" t="s">
        <v>176</v>
      </c>
      <c r="K27" s="9" t="s">
        <v>177</v>
      </c>
      <c r="L27" t="s">
        <v>93</v>
      </c>
    </row>
    <row r="28" spans="1:13" ht="15.9">
      <c r="A28" s="10" t="s">
        <v>155</v>
      </c>
      <c r="B28" s="9" t="s">
        <v>177</v>
      </c>
      <c r="K28" s="9" t="s">
        <v>178</v>
      </c>
      <c r="L28" t="s">
        <v>94</v>
      </c>
    </row>
    <row r="29" spans="1:13" ht="15.9">
      <c r="A29" s="10" t="s">
        <v>155</v>
      </c>
      <c r="B29" s="9" t="s">
        <v>178</v>
      </c>
      <c r="K29" s="9" t="s">
        <v>179</v>
      </c>
      <c r="L29" t="s">
        <v>95</v>
      </c>
    </row>
    <row r="30" spans="1:13" ht="15.9">
      <c r="A30" s="10" t="s">
        <v>155</v>
      </c>
      <c r="B30" s="9" t="s">
        <v>179</v>
      </c>
      <c r="K30" s="9" t="s">
        <v>180</v>
      </c>
      <c r="L30" t="s">
        <v>96</v>
      </c>
    </row>
    <row r="31" spans="1:13" ht="15.9">
      <c r="A31" s="10" t="s">
        <v>155</v>
      </c>
      <c r="B31" s="9" t="s">
        <v>180</v>
      </c>
      <c r="K31" s="9" t="s">
        <v>181</v>
      </c>
      <c r="L31" t="s">
        <v>97</v>
      </c>
    </row>
    <row r="32" spans="1:13" ht="15.9">
      <c r="A32" s="10" t="s">
        <v>155</v>
      </c>
      <c r="B32" s="9" t="s">
        <v>181</v>
      </c>
      <c r="K32" s="9" t="s">
        <v>182</v>
      </c>
      <c r="L32" t="s">
        <v>98</v>
      </c>
    </row>
    <row r="33" spans="1:12" ht="15.9">
      <c r="A33" s="10" t="s">
        <v>155</v>
      </c>
      <c r="B33" s="9" t="s">
        <v>182</v>
      </c>
      <c r="K33" s="9" t="s">
        <v>183</v>
      </c>
      <c r="L33" t="s">
        <v>100</v>
      </c>
    </row>
    <row r="34" spans="1:12" ht="15.9">
      <c r="A34" s="10" t="s">
        <v>155</v>
      </c>
      <c r="B34" s="9" t="s">
        <v>183</v>
      </c>
      <c r="K34" s="9" t="s">
        <v>98</v>
      </c>
      <c r="L34" t="s">
        <v>101</v>
      </c>
    </row>
    <row r="35" spans="1:12" ht="15.9">
      <c r="A35" s="10" t="s">
        <v>155</v>
      </c>
      <c r="B35" s="9" t="s">
        <v>98</v>
      </c>
      <c r="K35" s="9" t="s">
        <v>184</v>
      </c>
      <c r="L35" t="s">
        <v>102</v>
      </c>
    </row>
    <row r="36" spans="1:12" ht="15.9">
      <c r="A36" s="10" t="s">
        <v>155</v>
      </c>
      <c r="B36" s="9" t="s">
        <v>184</v>
      </c>
      <c r="K36" s="9" t="s">
        <v>185</v>
      </c>
      <c r="L36" t="s">
        <v>103</v>
      </c>
    </row>
    <row r="37" spans="1:12" ht="15.9">
      <c r="A37" s="10" t="s">
        <v>155</v>
      </c>
      <c r="B37" s="9" t="s">
        <v>185</v>
      </c>
      <c r="K37" s="9" t="s">
        <v>186</v>
      </c>
      <c r="L37" t="s">
        <v>104</v>
      </c>
    </row>
    <row r="38" spans="1:12" ht="15.9">
      <c r="A38" s="10" t="s">
        <v>155</v>
      </c>
      <c r="B38" s="9" t="s">
        <v>186</v>
      </c>
      <c r="K38" s="9" t="s">
        <v>187</v>
      </c>
      <c r="L38" t="s">
        <v>105</v>
      </c>
    </row>
    <row r="39" spans="1:12" ht="15.9">
      <c r="A39" s="10" t="s">
        <v>155</v>
      </c>
      <c r="B39" s="9" t="s">
        <v>187</v>
      </c>
      <c r="K39" s="9" t="s">
        <v>188</v>
      </c>
      <c r="L39" t="s">
        <v>106</v>
      </c>
    </row>
    <row r="40" spans="1:12" ht="15.9">
      <c r="A40" s="10" t="s">
        <v>155</v>
      </c>
      <c r="B40" s="9" t="s">
        <v>188</v>
      </c>
      <c r="K40" s="9" t="s">
        <v>104</v>
      </c>
      <c r="L40" t="s">
        <v>107</v>
      </c>
    </row>
    <row r="41" spans="1:12" ht="15.9">
      <c r="A41" s="10" t="s">
        <v>155</v>
      </c>
      <c r="B41" s="9" t="s">
        <v>104</v>
      </c>
      <c r="K41" s="9" t="s">
        <v>105</v>
      </c>
      <c r="L41" t="s">
        <v>108</v>
      </c>
    </row>
    <row r="42" spans="1:12" ht="15.9">
      <c r="A42" s="10" t="s">
        <v>155</v>
      </c>
      <c r="B42" s="9" t="s">
        <v>105</v>
      </c>
      <c r="K42" s="9" t="s">
        <v>189</v>
      </c>
      <c r="L42" t="s">
        <v>109</v>
      </c>
    </row>
    <row r="43" spans="1:12" ht="15.9">
      <c r="A43" s="10" t="s">
        <v>155</v>
      </c>
      <c r="B43" s="9" t="s">
        <v>189</v>
      </c>
      <c r="K43" s="9" t="s">
        <v>190</v>
      </c>
      <c r="L43" t="s">
        <v>110</v>
      </c>
    </row>
    <row r="44" spans="1:12" ht="15.9">
      <c r="A44" s="10" t="s">
        <v>155</v>
      </c>
      <c r="B44" s="9" t="s">
        <v>190</v>
      </c>
      <c r="K44" s="9" t="s">
        <v>191</v>
      </c>
      <c r="L44" t="s">
        <v>111</v>
      </c>
    </row>
    <row r="45" spans="1:12" ht="15.9">
      <c r="A45" s="10" t="s">
        <v>155</v>
      </c>
      <c r="B45" s="9" t="s">
        <v>191</v>
      </c>
      <c r="K45" s="9" t="s">
        <v>192</v>
      </c>
      <c r="L45" t="s">
        <v>112</v>
      </c>
    </row>
    <row r="46" spans="1:12" ht="15.9">
      <c r="A46" s="10" t="s">
        <v>155</v>
      </c>
      <c r="B46" s="9" t="s">
        <v>192</v>
      </c>
      <c r="K46" s="9" t="s">
        <v>193</v>
      </c>
      <c r="L46" t="s">
        <v>113</v>
      </c>
    </row>
    <row r="47" spans="1:12" ht="15.9">
      <c r="A47" s="10" t="s">
        <v>155</v>
      </c>
      <c r="B47" s="9" t="s">
        <v>193</v>
      </c>
      <c r="K47" s="9" t="s">
        <v>194</v>
      </c>
      <c r="L47" t="s">
        <v>114</v>
      </c>
    </row>
    <row r="48" spans="1:12" ht="15.9">
      <c r="A48" s="10" t="s">
        <v>155</v>
      </c>
      <c r="B48" s="9" t="s">
        <v>194</v>
      </c>
      <c r="K48" s="9" t="s">
        <v>195</v>
      </c>
      <c r="L48" t="s">
        <v>115</v>
      </c>
    </row>
    <row r="49" spans="1:12" ht="15.9">
      <c r="A49" s="10" t="s">
        <v>155</v>
      </c>
      <c r="B49" s="9" t="s">
        <v>195</v>
      </c>
      <c r="K49" s="9" t="s">
        <v>196</v>
      </c>
      <c r="L49" t="s">
        <v>116</v>
      </c>
    </row>
    <row r="50" spans="1:12" ht="15.9">
      <c r="A50" s="10" t="s">
        <v>155</v>
      </c>
      <c r="B50" s="9" t="s">
        <v>196</v>
      </c>
      <c r="K50" s="9" t="s">
        <v>197</v>
      </c>
      <c r="L50" t="s">
        <v>117</v>
      </c>
    </row>
    <row r="51" spans="1:12" ht="15.9">
      <c r="A51" s="10" t="s">
        <v>155</v>
      </c>
      <c r="B51" s="9" t="s">
        <v>197</v>
      </c>
      <c r="K51" s="9" t="s">
        <v>198</v>
      </c>
      <c r="L51" t="s">
        <v>118</v>
      </c>
    </row>
    <row r="52" spans="1:12" ht="15.9">
      <c r="A52" s="10" t="s">
        <v>155</v>
      </c>
      <c r="B52" s="9" t="s">
        <v>198</v>
      </c>
      <c r="K52" s="9" t="s">
        <v>199</v>
      </c>
      <c r="L52" t="s">
        <v>119</v>
      </c>
    </row>
    <row r="53" spans="1:12" ht="15.9">
      <c r="A53" s="10" t="s">
        <v>155</v>
      </c>
      <c r="B53" s="9" t="s">
        <v>199</v>
      </c>
      <c r="K53" s="9" t="s">
        <v>200</v>
      </c>
      <c r="L53" t="s">
        <v>120</v>
      </c>
    </row>
    <row r="54" spans="1:12" ht="15.9">
      <c r="A54" s="10" t="s">
        <v>155</v>
      </c>
      <c r="B54" s="9" t="s">
        <v>200</v>
      </c>
      <c r="K54" s="9" t="s">
        <v>201</v>
      </c>
      <c r="L54" t="s">
        <v>121</v>
      </c>
    </row>
    <row r="55" spans="1:12" ht="15.9">
      <c r="A55" s="10" t="s">
        <v>155</v>
      </c>
      <c r="B55" s="9" t="s">
        <v>201</v>
      </c>
      <c r="K55" s="9" t="s">
        <v>202</v>
      </c>
      <c r="L55" t="s">
        <v>122</v>
      </c>
    </row>
    <row r="56" spans="1:12" ht="15.9">
      <c r="A56" s="10" t="s">
        <v>155</v>
      </c>
      <c r="B56" s="9" t="s">
        <v>202</v>
      </c>
      <c r="K56" s="9" t="s">
        <v>119</v>
      </c>
      <c r="L56" t="s">
        <v>123</v>
      </c>
    </row>
    <row r="57" spans="1:12" ht="15.9">
      <c r="A57" s="10" t="s">
        <v>155</v>
      </c>
      <c r="B57" s="9" t="s">
        <v>119</v>
      </c>
      <c r="K57" s="9" t="s">
        <v>203</v>
      </c>
      <c r="L57" t="s">
        <v>124</v>
      </c>
    </row>
    <row r="58" spans="1:12" ht="15.9">
      <c r="A58" s="10" t="s">
        <v>155</v>
      </c>
      <c r="B58" s="9" t="s">
        <v>203</v>
      </c>
      <c r="K58" s="9" t="s">
        <v>204</v>
      </c>
      <c r="L58" t="s">
        <v>126</v>
      </c>
    </row>
    <row r="59" spans="1:12" ht="15.9">
      <c r="A59" s="10" t="s">
        <v>155</v>
      </c>
      <c r="B59" s="9" t="s">
        <v>204</v>
      </c>
      <c r="K59" s="9" t="s">
        <v>205</v>
      </c>
      <c r="L59" t="s">
        <v>127</v>
      </c>
    </row>
    <row r="60" spans="1:12" ht="15.9">
      <c r="A60" s="10" t="s">
        <v>155</v>
      </c>
      <c r="B60" s="9" t="s">
        <v>205</v>
      </c>
      <c r="K60" s="9" t="s">
        <v>206</v>
      </c>
    </row>
    <row r="61" spans="1:12" ht="15.9">
      <c r="A61" s="10" t="s">
        <v>155</v>
      </c>
      <c r="B61" s="9" t="s">
        <v>206</v>
      </c>
      <c r="K61" s="9" t="s">
        <v>207</v>
      </c>
    </row>
    <row r="62" spans="1:12" ht="15.9">
      <c r="A62" s="10" t="s">
        <v>155</v>
      </c>
      <c r="B62" s="9" t="s">
        <v>207</v>
      </c>
      <c r="K62" s="9" t="s">
        <v>208</v>
      </c>
    </row>
    <row r="63" spans="1:12" ht="15.9">
      <c r="A63" s="10" t="s">
        <v>155</v>
      </c>
      <c r="B63" s="9" t="s">
        <v>208</v>
      </c>
      <c r="K63" s="9" t="s">
        <v>209</v>
      </c>
    </row>
    <row r="64" spans="1:12" ht="15.9">
      <c r="A64" s="10" t="s">
        <v>155</v>
      </c>
      <c r="B64" s="9" t="s">
        <v>209</v>
      </c>
      <c r="K64" s="9" t="s">
        <v>211</v>
      </c>
    </row>
    <row r="65" spans="1:11" ht="15.9">
      <c r="A65" s="5" t="s">
        <v>210</v>
      </c>
      <c r="B65" s="9" t="s">
        <v>211</v>
      </c>
      <c r="K65" s="9" t="s">
        <v>212</v>
      </c>
    </row>
    <row r="66" spans="1:11" ht="15.9">
      <c r="A66" s="5" t="s">
        <v>210</v>
      </c>
      <c r="B66" s="9" t="s">
        <v>212</v>
      </c>
      <c r="K66" s="9" t="s">
        <v>213</v>
      </c>
    </row>
    <row r="67" spans="1:11" ht="15.9">
      <c r="A67" s="5" t="s">
        <v>210</v>
      </c>
      <c r="B67" s="9" t="s">
        <v>213</v>
      </c>
      <c r="K67" s="9" t="s">
        <v>214</v>
      </c>
    </row>
    <row r="68" spans="1:11" ht="15.9">
      <c r="A68" s="5" t="s">
        <v>210</v>
      </c>
      <c r="B68" s="9" t="s">
        <v>214</v>
      </c>
      <c r="K68" s="9" t="s">
        <v>215</v>
      </c>
    </row>
    <row r="69" spans="1:11" ht="15.9">
      <c r="A69" s="10" t="s">
        <v>210</v>
      </c>
      <c r="B69" s="9" t="s">
        <v>215</v>
      </c>
      <c r="K69" s="9" t="s">
        <v>216</v>
      </c>
    </row>
    <row r="70" spans="1:11" ht="15.9">
      <c r="A70" s="5" t="s">
        <v>210</v>
      </c>
      <c r="B70" s="9" t="s">
        <v>216</v>
      </c>
      <c r="K70" s="9" t="s">
        <v>217</v>
      </c>
    </row>
    <row r="71" spans="1:11" ht="15.9">
      <c r="A71" s="10" t="s">
        <v>210</v>
      </c>
      <c r="B71" s="9" t="s">
        <v>217</v>
      </c>
      <c r="K71" s="9" t="s">
        <v>218</v>
      </c>
    </row>
    <row r="72" spans="1:11" ht="15.9">
      <c r="A72" s="5" t="s">
        <v>210</v>
      </c>
      <c r="B72" s="9" t="s">
        <v>218</v>
      </c>
      <c r="K72" s="9" t="s">
        <v>219</v>
      </c>
    </row>
    <row r="73" spans="1:11" ht="15.9">
      <c r="A73" s="5" t="s">
        <v>210</v>
      </c>
      <c r="B73" s="9" t="s">
        <v>219</v>
      </c>
      <c r="K73" s="9" t="s">
        <v>220</v>
      </c>
    </row>
    <row r="74" spans="1:11" ht="15.9">
      <c r="A74" s="5" t="s">
        <v>210</v>
      </c>
      <c r="B74" s="9" t="s">
        <v>220</v>
      </c>
      <c r="K74" s="9" t="s">
        <v>221</v>
      </c>
    </row>
    <row r="75" spans="1:11" ht="15.9">
      <c r="A75" s="5" t="s">
        <v>210</v>
      </c>
      <c r="B75" s="9" t="s">
        <v>221</v>
      </c>
      <c r="K75" s="9" t="s">
        <v>222</v>
      </c>
    </row>
    <row r="76" spans="1:11" ht="15.9">
      <c r="A76" s="5" t="s">
        <v>210</v>
      </c>
      <c r="B76" s="9" t="s">
        <v>222</v>
      </c>
      <c r="K76" s="9" t="s">
        <v>223</v>
      </c>
    </row>
    <row r="77" spans="1:11" ht="15.9">
      <c r="A77" s="5" t="s">
        <v>210</v>
      </c>
      <c r="B77" s="9" t="s">
        <v>223</v>
      </c>
      <c r="K77" s="9" t="s">
        <v>224</v>
      </c>
    </row>
    <row r="78" spans="1:11" ht="15.9">
      <c r="A78" s="10" t="s">
        <v>210</v>
      </c>
      <c r="B78" s="9" t="s">
        <v>224</v>
      </c>
      <c r="K78" s="9" t="s">
        <v>225</v>
      </c>
    </row>
    <row r="79" spans="1:11" ht="15.9">
      <c r="A79" s="5" t="s">
        <v>210</v>
      </c>
      <c r="B79" s="9" t="s">
        <v>225</v>
      </c>
      <c r="K79" s="9" t="s">
        <v>226</v>
      </c>
    </row>
    <row r="80" spans="1:11" ht="15.9">
      <c r="A80" s="5" t="s">
        <v>210</v>
      </c>
      <c r="B80" s="9" t="s">
        <v>226</v>
      </c>
      <c r="K80" s="9" t="s">
        <v>227</v>
      </c>
    </row>
    <row r="81" spans="1:11" ht="15.9">
      <c r="A81" s="5" t="s">
        <v>210</v>
      </c>
      <c r="B81" s="9" t="s">
        <v>227</v>
      </c>
      <c r="K81" s="9" t="s">
        <v>228</v>
      </c>
    </row>
    <row r="82" spans="1:11" ht="15.9">
      <c r="A82" s="10" t="s">
        <v>210</v>
      </c>
      <c r="B82" s="9" t="s">
        <v>228</v>
      </c>
      <c r="K82" s="9" t="s">
        <v>229</v>
      </c>
    </row>
    <row r="83" spans="1:11" ht="15.9">
      <c r="A83" s="5" t="s">
        <v>210</v>
      </c>
      <c r="B83" s="9" t="s">
        <v>229</v>
      </c>
      <c r="K83" s="9" t="s">
        <v>230</v>
      </c>
    </row>
    <row r="84" spans="1:11" ht="15.9">
      <c r="A84" s="5" t="s">
        <v>210</v>
      </c>
      <c r="B84" s="9" t="s">
        <v>230</v>
      </c>
      <c r="K84" s="9" t="s">
        <v>231</v>
      </c>
    </row>
    <row r="85" spans="1:11" ht="15.9">
      <c r="A85" s="10" t="s">
        <v>210</v>
      </c>
      <c r="B85" s="9" t="s">
        <v>231</v>
      </c>
      <c r="K85" s="9" t="s">
        <v>232</v>
      </c>
    </row>
    <row r="86" spans="1:11" ht="15.9">
      <c r="A86" s="10" t="s">
        <v>210</v>
      </c>
      <c r="B86" s="9" t="s">
        <v>232</v>
      </c>
      <c r="K86" s="9" t="s">
        <v>233</v>
      </c>
    </row>
    <row r="87" spans="1:11" ht="15.9">
      <c r="A87" s="5" t="s">
        <v>210</v>
      </c>
      <c r="B87" s="9" t="s">
        <v>233</v>
      </c>
      <c r="K87" s="9" t="s">
        <v>234</v>
      </c>
    </row>
    <row r="88" spans="1:11" ht="15.9">
      <c r="A88" s="5" t="s">
        <v>210</v>
      </c>
      <c r="B88" s="9" t="s">
        <v>234</v>
      </c>
      <c r="K88" s="9" t="s">
        <v>235</v>
      </c>
    </row>
    <row r="89" spans="1:11" ht="15.9">
      <c r="A89" s="10" t="s">
        <v>210</v>
      </c>
      <c r="B89" s="9" t="s">
        <v>235</v>
      </c>
      <c r="K89" s="9" t="s">
        <v>236</v>
      </c>
    </row>
    <row r="90" spans="1:11" ht="15.9">
      <c r="A90" s="5" t="s">
        <v>210</v>
      </c>
      <c r="B90" s="9" t="s">
        <v>236</v>
      </c>
      <c r="K90" s="9" t="s">
        <v>237</v>
      </c>
    </row>
    <row r="91" spans="1:11" ht="15.9">
      <c r="A91" s="5" t="s">
        <v>210</v>
      </c>
      <c r="B91" s="9" t="s">
        <v>237</v>
      </c>
      <c r="K91" s="9" t="s">
        <v>90</v>
      </c>
    </row>
    <row r="92" spans="1:11" ht="15.9">
      <c r="A92" s="5" t="s">
        <v>210</v>
      </c>
      <c r="B92" s="9" t="s">
        <v>90</v>
      </c>
      <c r="K92" s="9" t="s">
        <v>238</v>
      </c>
    </row>
    <row r="93" spans="1:11" ht="15.9">
      <c r="A93" s="5" t="s">
        <v>210</v>
      </c>
      <c r="B93" s="9" t="s">
        <v>238</v>
      </c>
      <c r="K93" s="9" t="s">
        <v>239</v>
      </c>
    </row>
    <row r="94" spans="1:11" ht="15.9">
      <c r="A94" s="5" t="s">
        <v>210</v>
      </c>
      <c r="B94" s="9" t="s">
        <v>239</v>
      </c>
      <c r="K94" s="9" t="s">
        <v>240</v>
      </c>
    </row>
    <row r="95" spans="1:11" ht="15.9">
      <c r="A95" s="5" t="s">
        <v>210</v>
      </c>
      <c r="B95" s="9" t="s">
        <v>240</v>
      </c>
      <c r="K95" s="9" t="s">
        <v>241</v>
      </c>
    </row>
    <row r="96" spans="1:11" ht="15.9">
      <c r="A96" s="5" t="s">
        <v>210</v>
      </c>
      <c r="B96" s="9" t="s">
        <v>241</v>
      </c>
      <c r="K96" s="9" t="s">
        <v>242</v>
      </c>
    </row>
    <row r="97" spans="1:11" ht="15.9">
      <c r="A97" s="5" t="s">
        <v>210</v>
      </c>
      <c r="B97" s="9" t="s">
        <v>242</v>
      </c>
      <c r="K97" s="9" t="s">
        <v>243</v>
      </c>
    </row>
    <row r="98" spans="1:11" ht="15.9">
      <c r="A98" s="10" t="s">
        <v>210</v>
      </c>
      <c r="B98" s="9" t="s">
        <v>243</v>
      </c>
      <c r="K98" s="9" t="s">
        <v>244</v>
      </c>
    </row>
    <row r="99" spans="1:11" ht="15.9">
      <c r="A99" s="10" t="s">
        <v>210</v>
      </c>
      <c r="B99" s="9" t="s">
        <v>244</v>
      </c>
      <c r="K99" s="9" t="s">
        <v>245</v>
      </c>
    </row>
    <row r="100" spans="1:11" ht="15.9">
      <c r="A100" s="5" t="s">
        <v>210</v>
      </c>
      <c r="B100" s="9" t="s">
        <v>245</v>
      </c>
      <c r="K100" s="9" t="s">
        <v>246</v>
      </c>
    </row>
    <row r="101" spans="1:11" ht="15.9">
      <c r="A101" s="10" t="s">
        <v>210</v>
      </c>
      <c r="B101" s="9" t="s">
        <v>246</v>
      </c>
      <c r="K101" s="9" t="s">
        <v>247</v>
      </c>
    </row>
    <row r="102" spans="1:11" ht="15.9">
      <c r="A102" s="5" t="s">
        <v>210</v>
      </c>
      <c r="B102" s="9" t="s">
        <v>247</v>
      </c>
      <c r="K102" s="9" t="s">
        <v>248</v>
      </c>
    </row>
    <row r="103" spans="1:11" ht="15.9">
      <c r="A103" s="5" t="s">
        <v>210</v>
      </c>
      <c r="B103" s="9" t="s">
        <v>248</v>
      </c>
      <c r="K103" s="9" t="s">
        <v>249</v>
      </c>
    </row>
    <row r="104" spans="1:11" ht="15.9">
      <c r="A104" s="5" t="s">
        <v>210</v>
      </c>
      <c r="B104" s="9" t="s">
        <v>249</v>
      </c>
      <c r="K104" s="9" t="s">
        <v>250</v>
      </c>
    </row>
    <row r="105" spans="1:11" ht="15.9">
      <c r="A105" s="5" t="s">
        <v>210</v>
      </c>
      <c r="B105" s="9" t="s">
        <v>250</v>
      </c>
      <c r="K105" s="9" t="s">
        <v>251</v>
      </c>
    </row>
    <row r="106" spans="1:11" ht="15.9">
      <c r="A106" s="5" t="s">
        <v>210</v>
      </c>
      <c r="B106" s="9" t="s">
        <v>251</v>
      </c>
      <c r="K106" s="9" t="s">
        <v>252</v>
      </c>
    </row>
    <row r="107" spans="1:11" ht="15.9">
      <c r="A107" s="5" t="s">
        <v>210</v>
      </c>
      <c r="B107" s="9" t="s">
        <v>252</v>
      </c>
      <c r="K107" s="9" t="s">
        <v>253</v>
      </c>
    </row>
    <row r="108" spans="1:11" ht="15.9">
      <c r="A108" s="5" t="s">
        <v>210</v>
      </c>
      <c r="B108" s="9" t="s">
        <v>253</v>
      </c>
      <c r="K108" s="9" t="s">
        <v>254</v>
      </c>
    </row>
    <row r="109" spans="1:11" ht="15.9">
      <c r="A109" s="10" t="s">
        <v>210</v>
      </c>
      <c r="B109" s="9" t="s">
        <v>254</v>
      </c>
      <c r="K109" s="9" t="s">
        <v>255</v>
      </c>
    </row>
    <row r="110" spans="1:11" ht="15.9">
      <c r="A110" s="10" t="s">
        <v>210</v>
      </c>
      <c r="B110" s="9" t="s">
        <v>255</v>
      </c>
      <c r="K110" s="9" t="s">
        <v>256</v>
      </c>
    </row>
    <row r="111" spans="1:11" ht="15.9">
      <c r="A111" s="10" t="s">
        <v>210</v>
      </c>
      <c r="B111" s="9" t="s">
        <v>256</v>
      </c>
      <c r="K111" s="9" t="s">
        <v>257</v>
      </c>
    </row>
    <row r="112" spans="1:11" ht="15.9">
      <c r="A112" s="5" t="s">
        <v>210</v>
      </c>
      <c r="B112" s="9" t="s">
        <v>257</v>
      </c>
      <c r="K112" s="9" t="s">
        <v>258</v>
      </c>
    </row>
    <row r="113" spans="1:11" ht="15.9">
      <c r="A113" s="10" t="s">
        <v>210</v>
      </c>
      <c r="B113" s="9" t="s">
        <v>258</v>
      </c>
      <c r="K113" s="9" t="s">
        <v>259</v>
      </c>
    </row>
    <row r="114" spans="1:11" ht="15.9">
      <c r="A114" s="5" t="s">
        <v>210</v>
      </c>
      <c r="B114" s="9" t="s">
        <v>259</v>
      </c>
      <c r="K114" s="9" t="s">
        <v>260</v>
      </c>
    </row>
    <row r="115" spans="1:11" ht="15.9">
      <c r="A115" s="5" t="s">
        <v>210</v>
      </c>
      <c r="B115" s="9" t="s">
        <v>260</v>
      </c>
      <c r="K115" s="9" t="s">
        <v>261</v>
      </c>
    </row>
    <row r="116" spans="1:11" ht="15.9">
      <c r="A116" s="5" t="s">
        <v>210</v>
      </c>
      <c r="B116" s="9" t="s">
        <v>261</v>
      </c>
      <c r="K116" s="9" t="s">
        <v>262</v>
      </c>
    </row>
    <row r="117" spans="1:11" ht="15.9">
      <c r="A117" s="5" t="s">
        <v>210</v>
      </c>
      <c r="B117" s="9" t="s">
        <v>262</v>
      </c>
      <c r="K117" s="9" t="s">
        <v>263</v>
      </c>
    </row>
    <row r="118" spans="1:11" ht="15.9">
      <c r="A118" s="5" t="s">
        <v>210</v>
      </c>
      <c r="B118" s="9" t="s">
        <v>263</v>
      </c>
      <c r="K118" s="9" t="s">
        <v>264</v>
      </c>
    </row>
    <row r="119" spans="1:11" ht="15.9">
      <c r="A119" s="5" t="s">
        <v>210</v>
      </c>
      <c r="B119" s="9" t="s">
        <v>264</v>
      </c>
      <c r="K119" s="9" t="s">
        <v>265</v>
      </c>
    </row>
    <row r="120" spans="1:11" ht="15.9">
      <c r="A120" s="5" t="s">
        <v>210</v>
      </c>
      <c r="B120" s="9" t="s">
        <v>265</v>
      </c>
      <c r="K120" s="9" t="s">
        <v>266</v>
      </c>
    </row>
    <row r="121" spans="1:11" ht="15.9">
      <c r="A121" s="5" t="s">
        <v>210</v>
      </c>
      <c r="B121" s="9" t="s">
        <v>266</v>
      </c>
      <c r="K121" s="9" t="s">
        <v>267</v>
      </c>
    </row>
    <row r="122" spans="1:11" ht="15.9">
      <c r="A122" s="5" t="s">
        <v>210</v>
      </c>
      <c r="B122" s="9" t="s">
        <v>267</v>
      </c>
      <c r="K122" s="9" t="s">
        <v>268</v>
      </c>
    </row>
    <row r="123" spans="1:11" ht="15.9">
      <c r="A123" s="5" t="s">
        <v>210</v>
      </c>
      <c r="B123" s="9" t="s">
        <v>268</v>
      </c>
      <c r="K123" s="9" t="s">
        <v>269</v>
      </c>
    </row>
    <row r="124" spans="1:11" ht="15.9">
      <c r="A124" s="5" t="s">
        <v>210</v>
      </c>
      <c r="B124" s="9" t="s">
        <v>269</v>
      </c>
      <c r="K124" s="9" t="s">
        <v>270</v>
      </c>
    </row>
    <row r="125" spans="1:11" ht="15.9">
      <c r="A125" s="5" t="s">
        <v>210</v>
      </c>
      <c r="B125" s="9" t="s">
        <v>270</v>
      </c>
      <c r="K125" s="9" t="s">
        <v>271</v>
      </c>
    </row>
    <row r="126" spans="1:11" ht="15.9">
      <c r="A126" s="5" t="s">
        <v>210</v>
      </c>
      <c r="B126" s="9" t="s">
        <v>271</v>
      </c>
      <c r="K126" s="9" t="s">
        <v>272</v>
      </c>
    </row>
    <row r="127" spans="1:11" ht="15.9">
      <c r="A127" s="5" t="s">
        <v>210</v>
      </c>
      <c r="B127" s="9" t="s">
        <v>272</v>
      </c>
      <c r="K127" s="9" t="s">
        <v>273</v>
      </c>
    </row>
    <row r="128" spans="1:11" ht="15.9">
      <c r="A128" s="5" t="s">
        <v>210</v>
      </c>
      <c r="B128" s="9" t="s">
        <v>273</v>
      </c>
      <c r="K128" s="9" t="s">
        <v>274</v>
      </c>
    </row>
    <row r="129" spans="1:11" ht="15.9">
      <c r="A129" s="5" t="s">
        <v>210</v>
      </c>
      <c r="B129" s="9" t="s">
        <v>274</v>
      </c>
      <c r="K129" s="9" t="s">
        <v>275</v>
      </c>
    </row>
    <row r="130" spans="1:11" ht="15.9">
      <c r="A130" s="5" t="s">
        <v>210</v>
      </c>
      <c r="B130" s="9" t="s">
        <v>275</v>
      </c>
      <c r="K130" s="9" t="s">
        <v>276</v>
      </c>
    </row>
    <row r="131" spans="1:11" ht="15.9">
      <c r="A131" s="5" t="s">
        <v>210</v>
      </c>
      <c r="B131" s="9" t="s">
        <v>276</v>
      </c>
      <c r="K131" s="9" t="s">
        <v>278</v>
      </c>
    </row>
    <row r="132" spans="1:11" ht="15.9">
      <c r="A132" s="5" t="s">
        <v>277</v>
      </c>
      <c r="B132" s="9" t="s">
        <v>278</v>
      </c>
      <c r="K132" s="9" t="s">
        <v>279</v>
      </c>
    </row>
    <row r="133" spans="1:11" ht="15.9">
      <c r="A133" s="5" t="s">
        <v>277</v>
      </c>
      <c r="B133" s="9" t="s">
        <v>279</v>
      </c>
      <c r="K133" s="9" t="s">
        <v>280</v>
      </c>
    </row>
    <row r="134" spans="1:11" ht="15.9">
      <c r="A134" s="5" t="s">
        <v>277</v>
      </c>
      <c r="B134" s="9" t="s">
        <v>280</v>
      </c>
      <c r="K134" s="9" t="s">
        <v>281</v>
      </c>
    </row>
    <row r="135" spans="1:11" ht="15.9">
      <c r="A135" s="5" t="s">
        <v>277</v>
      </c>
      <c r="B135" s="9" t="s">
        <v>281</v>
      </c>
      <c r="K135" s="9" t="s">
        <v>282</v>
      </c>
    </row>
    <row r="136" spans="1:11" ht="15.9">
      <c r="A136" s="5" t="s">
        <v>277</v>
      </c>
      <c r="B136" s="9" t="s">
        <v>282</v>
      </c>
      <c r="K136" s="9" t="s">
        <v>283</v>
      </c>
    </row>
    <row r="137" spans="1:11" ht="15.9">
      <c r="A137" s="5" t="s">
        <v>277</v>
      </c>
      <c r="B137" s="9" t="s">
        <v>283</v>
      </c>
      <c r="K137" s="9" t="s">
        <v>284</v>
      </c>
    </row>
    <row r="138" spans="1:11" ht="15.9">
      <c r="A138" s="5" t="s">
        <v>277</v>
      </c>
      <c r="B138" s="9" t="s">
        <v>284</v>
      </c>
      <c r="K138" s="9" t="s">
        <v>285</v>
      </c>
    </row>
    <row r="139" spans="1:11" ht="15.9">
      <c r="A139" s="5" t="s">
        <v>277</v>
      </c>
      <c r="B139" s="9" t="s">
        <v>285</v>
      </c>
      <c r="K139" s="9" t="s">
        <v>286</v>
      </c>
    </row>
    <row r="140" spans="1:11" ht="15.9">
      <c r="A140" s="5" t="s">
        <v>277</v>
      </c>
      <c r="B140" s="9" t="s">
        <v>286</v>
      </c>
      <c r="K140" s="9" t="s">
        <v>287</v>
      </c>
    </row>
    <row r="141" spans="1:11" ht="15.9">
      <c r="A141" s="5" t="s">
        <v>277</v>
      </c>
      <c r="B141" s="9" t="s">
        <v>287</v>
      </c>
      <c r="K141" s="9" t="s">
        <v>288</v>
      </c>
    </row>
    <row r="142" spans="1:11" ht="15.9">
      <c r="A142" s="5" t="s">
        <v>277</v>
      </c>
      <c r="B142" s="9" t="s">
        <v>288</v>
      </c>
      <c r="K142" s="9" t="s">
        <v>289</v>
      </c>
    </row>
    <row r="143" spans="1:11" ht="15.9">
      <c r="A143" s="5" t="s">
        <v>277</v>
      </c>
      <c r="B143" s="9" t="s">
        <v>289</v>
      </c>
      <c r="K143" s="9" t="s">
        <v>290</v>
      </c>
    </row>
    <row r="144" spans="1:11" ht="15.9">
      <c r="A144" s="5" t="s">
        <v>277</v>
      </c>
      <c r="B144" s="9" t="s">
        <v>290</v>
      </c>
      <c r="K144" s="9" t="s">
        <v>291</v>
      </c>
    </row>
    <row r="145" spans="1:11" ht="15.9">
      <c r="A145" s="5" t="s">
        <v>277</v>
      </c>
      <c r="B145" s="9" t="s">
        <v>291</v>
      </c>
      <c r="K145" s="9" t="s">
        <v>292</v>
      </c>
    </row>
    <row r="146" spans="1:11" ht="15.9">
      <c r="A146" s="5" t="s">
        <v>277</v>
      </c>
      <c r="B146" s="9" t="s">
        <v>292</v>
      </c>
      <c r="K146" s="9" t="s">
        <v>293</v>
      </c>
    </row>
    <row r="147" spans="1:11" ht="15.9">
      <c r="A147" s="5" t="s">
        <v>277</v>
      </c>
      <c r="B147" s="9" t="s">
        <v>293</v>
      </c>
      <c r="K147" s="9" t="s">
        <v>294</v>
      </c>
    </row>
    <row r="148" spans="1:11" ht="15.9">
      <c r="A148" s="5" t="s">
        <v>277</v>
      </c>
      <c r="B148" s="9" t="s">
        <v>294</v>
      </c>
      <c r="K148" s="9" t="s">
        <v>295</v>
      </c>
    </row>
    <row r="149" spans="1:11" ht="15.9">
      <c r="A149" s="5" t="s">
        <v>277</v>
      </c>
      <c r="B149" s="9" t="s">
        <v>295</v>
      </c>
      <c r="K149" s="9" t="s">
        <v>296</v>
      </c>
    </row>
    <row r="150" spans="1:11" ht="15.9">
      <c r="A150" s="5" t="s">
        <v>277</v>
      </c>
      <c r="B150" s="9" t="s">
        <v>296</v>
      </c>
      <c r="K150" s="9" t="s">
        <v>297</v>
      </c>
    </row>
    <row r="151" spans="1:11" ht="15.9">
      <c r="A151" s="5" t="s">
        <v>277</v>
      </c>
      <c r="B151" s="9" t="s">
        <v>297</v>
      </c>
      <c r="K151" s="9" t="s">
        <v>298</v>
      </c>
    </row>
    <row r="152" spans="1:11" ht="15.9">
      <c r="A152" s="5" t="s">
        <v>277</v>
      </c>
      <c r="B152" s="9" t="s">
        <v>298</v>
      </c>
      <c r="K152" s="9" t="s">
        <v>299</v>
      </c>
    </row>
    <row r="153" spans="1:11" ht="15.9">
      <c r="A153" s="5" t="s">
        <v>277</v>
      </c>
      <c r="B153" s="9" t="s">
        <v>299</v>
      </c>
      <c r="K153" s="9" t="s">
        <v>300</v>
      </c>
    </row>
    <row r="154" spans="1:11" ht="15.9">
      <c r="A154" s="5" t="s">
        <v>277</v>
      </c>
      <c r="B154" s="9" t="s">
        <v>300</v>
      </c>
      <c r="K154" s="9" t="s">
        <v>301</v>
      </c>
    </row>
    <row r="155" spans="1:11" ht="15.9">
      <c r="A155" s="5" t="s">
        <v>277</v>
      </c>
      <c r="B155" s="9" t="s">
        <v>301</v>
      </c>
      <c r="K155" s="9" t="s">
        <v>302</v>
      </c>
    </row>
    <row r="156" spans="1:11" ht="15.9">
      <c r="A156" s="5" t="s">
        <v>277</v>
      </c>
      <c r="B156" s="9" t="s">
        <v>302</v>
      </c>
      <c r="K156" s="9" t="s">
        <v>303</v>
      </c>
    </row>
    <row r="157" spans="1:11" ht="15.9">
      <c r="A157" s="5" t="s">
        <v>277</v>
      </c>
      <c r="B157" s="9" t="s">
        <v>303</v>
      </c>
      <c r="K157" s="9" t="s">
        <v>304</v>
      </c>
    </row>
    <row r="158" spans="1:11" ht="15.9">
      <c r="A158" s="5" t="s">
        <v>277</v>
      </c>
      <c r="B158" s="9" t="s">
        <v>304</v>
      </c>
      <c r="K158" s="9" t="s">
        <v>305</v>
      </c>
    </row>
    <row r="159" spans="1:11" ht="15.9">
      <c r="A159" s="5" t="s">
        <v>277</v>
      </c>
      <c r="B159" s="9" t="s">
        <v>305</v>
      </c>
      <c r="K159" s="9" t="s">
        <v>306</v>
      </c>
    </row>
    <row r="160" spans="1:11" ht="15.9">
      <c r="A160" s="5" t="s">
        <v>277</v>
      </c>
      <c r="B160" s="9" t="s">
        <v>306</v>
      </c>
      <c r="K160" s="9" t="s">
        <v>307</v>
      </c>
    </row>
    <row r="161" spans="1:11" ht="15.9">
      <c r="A161" s="5" t="s">
        <v>277</v>
      </c>
      <c r="B161" s="9" t="s">
        <v>307</v>
      </c>
      <c r="K161" s="9" t="s">
        <v>308</v>
      </c>
    </row>
    <row r="162" spans="1:11" ht="15.9">
      <c r="A162" s="5" t="s">
        <v>277</v>
      </c>
      <c r="B162" s="9" t="s">
        <v>308</v>
      </c>
      <c r="K162" s="9" t="s">
        <v>309</v>
      </c>
    </row>
    <row r="163" spans="1:11" ht="15.9">
      <c r="A163" s="5" t="s">
        <v>277</v>
      </c>
      <c r="B163" s="9" t="s">
        <v>309</v>
      </c>
      <c r="K163" s="9" t="s">
        <v>310</v>
      </c>
    </row>
    <row r="164" spans="1:11" ht="15.9">
      <c r="A164" s="5" t="s">
        <v>277</v>
      </c>
      <c r="B164" s="9" t="s">
        <v>310</v>
      </c>
      <c r="K164" s="9" t="s">
        <v>311</v>
      </c>
    </row>
    <row r="165" spans="1:11" ht="15.9">
      <c r="A165" s="5" t="s">
        <v>277</v>
      </c>
      <c r="B165" s="9" t="s">
        <v>311</v>
      </c>
      <c r="K165" s="9" t="s">
        <v>312</v>
      </c>
    </row>
    <row r="166" spans="1:11" ht="15.9">
      <c r="A166" s="5" t="s">
        <v>277</v>
      </c>
      <c r="B166" s="9" t="s">
        <v>312</v>
      </c>
      <c r="K166" s="9" t="s">
        <v>314</v>
      </c>
    </row>
    <row r="167" spans="1:11" ht="15.9">
      <c r="A167" s="10" t="s">
        <v>313</v>
      </c>
      <c r="B167" s="9" t="s">
        <v>314</v>
      </c>
      <c r="K167" s="9" t="s">
        <v>315</v>
      </c>
    </row>
    <row r="168" spans="1:11" ht="15.9">
      <c r="A168" s="5" t="s">
        <v>313</v>
      </c>
      <c r="B168" s="9" t="s">
        <v>315</v>
      </c>
      <c r="K168" s="9" t="s">
        <v>316</v>
      </c>
    </row>
    <row r="169" spans="1:11" ht="15.9">
      <c r="A169" s="5" t="s">
        <v>313</v>
      </c>
      <c r="B169" s="9" t="s">
        <v>316</v>
      </c>
      <c r="K169" s="9" t="s">
        <v>317</v>
      </c>
    </row>
    <row r="170" spans="1:11" ht="15.9">
      <c r="A170" s="5" t="s">
        <v>313</v>
      </c>
      <c r="B170" s="9" t="s">
        <v>317</v>
      </c>
      <c r="K170" s="9" t="s">
        <v>318</v>
      </c>
    </row>
    <row r="171" spans="1:11" ht="15.9">
      <c r="A171" s="5" t="s">
        <v>313</v>
      </c>
      <c r="B171" s="9" t="s">
        <v>318</v>
      </c>
      <c r="K171" s="9" t="s">
        <v>319</v>
      </c>
    </row>
    <row r="172" spans="1:11" ht="15.9">
      <c r="A172" s="5" t="s">
        <v>313</v>
      </c>
      <c r="B172" s="9" t="s">
        <v>319</v>
      </c>
      <c r="K172" s="9" t="s">
        <v>320</v>
      </c>
    </row>
    <row r="173" spans="1:11" ht="15.9">
      <c r="A173" s="5" t="s">
        <v>313</v>
      </c>
      <c r="B173" s="9" t="s">
        <v>320</v>
      </c>
      <c r="K173" s="9" t="s">
        <v>321</v>
      </c>
    </row>
    <row r="174" spans="1:11" ht="15.9">
      <c r="A174" s="5" t="s">
        <v>313</v>
      </c>
      <c r="B174" s="9" t="s">
        <v>321</v>
      </c>
      <c r="K174" s="9" t="s">
        <v>322</v>
      </c>
    </row>
    <row r="175" spans="1:11" ht="15.9">
      <c r="A175" s="5" t="s">
        <v>313</v>
      </c>
      <c r="B175" s="9" t="s">
        <v>322</v>
      </c>
      <c r="K175" s="9" t="s">
        <v>323</v>
      </c>
    </row>
    <row r="176" spans="1:11" ht="15.9">
      <c r="A176" s="5" t="s">
        <v>313</v>
      </c>
      <c r="B176" s="9" t="s">
        <v>323</v>
      </c>
      <c r="K176" s="9" t="s">
        <v>324</v>
      </c>
    </row>
    <row r="177" spans="1:11" ht="15.9">
      <c r="A177" s="5" t="s">
        <v>313</v>
      </c>
      <c r="B177" s="9" t="s">
        <v>324</v>
      </c>
      <c r="K177" s="9" t="s">
        <v>325</v>
      </c>
    </row>
    <row r="178" spans="1:11" ht="15.9">
      <c r="A178" s="5" t="s">
        <v>313</v>
      </c>
      <c r="B178" s="9" t="s">
        <v>325</v>
      </c>
      <c r="K178" s="9" t="s">
        <v>326</v>
      </c>
    </row>
    <row r="179" spans="1:11" ht="15.9">
      <c r="A179" s="5" t="s">
        <v>313</v>
      </c>
      <c r="B179" s="9" t="s">
        <v>326</v>
      </c>
      <c r="K179" s="9" t="s">
        <v>327</v>
      </c>
    </row>
    <row r="180" spans="1:11" ht="15.9">
      <c r="A180" s="5" t="s">
        <v>313</v>
      </c>
      <c r="B180" s="9" t="s">
        <v>327</v>
      </c>
      <c r="K180" s="9" t="s">
        <v>328</v>
      </c>
    </row>
    <row r="181" spans="1:11" ht="15.9">
      <c r="A181" s="5" t="s">
        <v>313</v>
      </c>
      <c r="B181" s="9" t="s">
        <v>328</v>
      </c>
      <c r="K181" s="9" t="s">
        <v>329</v>
      </c>
    </row>
    <row r="182" spans="1:11" ht="15.9">
      <c r="A182" s="5" t="s">
        <v>313</v>
      </c>
      <c r="B182" s="9" t="s">
        <v>329</v>
      </c>
      <c r="K182" s="9" t="s">
        <v>330</v>
      </c>
    </row>
    <row r="183" spans="1:11" ht="15.9">
      <c r="A183" s="5" t="s">
        <v>313</v>
      </c>
      <c r="B183" s="9" t="s">
        <v>330</v>
      </c>
      <c r="K183" s="9" t="s">
        <v>331</v>
      </c>
    </row>
    <row r="184" spans="1:11" ht="15.9">
      <c r="A184" s="5" t="s">
        <v>313</v>
      </c>
      <c r="B184" s="9" t="s">
        <v>331</v>
      </c>
      <c r="K184" s="9" t="s">
        <v>332</v>
      </c>
    </row>
    <row r="185" spans="1:11" ht="15.9">
      <c r="A185" s="5" t="s">
        <v>313</v>
      </c>
      <c r="B185" s="9" t="s">
        <v>332</v>
      </c>
      <c r="K185" s="9" t="s">
        <v>333</v>
      </c>
    </row>
    <row r="186" spans="1:11" ht="15.9">
      <c r="A186" s="5" t="s">
        <v>313</v>
      </c>
      <c r="B186" s="9" t="s">
        <v>333</v>
      </c>
      <c r="K186" s="9" t="s">
        <v>334</v>
      </c>
    </row>
    <row r="187" spans="1:11" ht="15.9">
      <c r="A187" s="5" t="s">
        <v>313</v>
      </c>
      <c r="B187" s="9" t="s">
        <v>334</v>
      </c>
      <c r="K187" s="9" t="s">
        <v>335</v>
      </c>
    </row>
    <row r="188" spans="1:11" ht="15.9">
      <c r="A188" s="5" t="s">
        <v>313</v>
      </c>
      <c r="B188" s="9" t="s">
        <v>335</v>
      </c>
      <c r="K188" s="9" t="s">
        <v>336</v>
      </c>
    </row>
    <row r="189" spans="1:11" ht="15.9">
      <c r="A189" s="5" t="s">
        <v>313</v>
      </c>
      <c r="B189" s="9" t="s">
        <v>336</v>
      </c>
      <c r="K189" s="9" t="s">
        <v>337</v>
      </c>
    </row>
    <row r="190" spans="1:11" ht="15.9">
      <c r="A190" s="5" t="s">
        <v>313</v>
      </c>
      <c r="B190" s="9" t="s">
        <v>337</v>
      </c>
      <c r="K190" s="9" t="s">
        <v>338</v>
      </c>
    </row>
    <row r="191" spans="1:11" ht="15.9">
      <c r="A191" s="5" t="s">
        <v>313</v>
      </c>
      <c r="B191" s="9" t="s">
        <v>338</v>
      </c>
      <c r="K191" s="9" t="s">
        <v>339</v>
      </c>
    </row>
    <row r="192" spans="1:11" ht="15.9">
      <c r="A192" s="5" t="s">
        <v>313</v>
      </c>
      <c r="B192" s="9" t="s">
        <v>339</v>
      </c>
      <c r="K192" s="9" t="s">
        <v>340</v>
      </c>
    </row>
    <row r="193" spans="1:11" ht="15.9">
      <c r="A193" s="5" t="s">
        <v>313</v>
      </c>
      <c r="B193" s="9" t="s">
        <v>340</v>
      </c>
      <c r="K193" s="9" t="s">
        <v>341</v>
      </c>
    </row>
    <row r="194" spans="1:11" ht="15.9">
      <c r="A194" s="5" t="s">
        <v>313</v>
      </c>
      <c r="B194" s="9" t="s">
        <v>341</v>
      </c>
      <c r="K194" s="9" t="s">
        <v>342</v>
      </c>
    </row>
    <row r="195" spans="1:11" ht="15.9">
      <c r="A195" s="5" t="s">
        <v>313</v>
      </c>
      <c r="B195" s="9" t="s">
        <v>342</v>
      </c>
      <c r="K195" s="9" t="s">
        <v>343</v>
      </c>
    </row>
    <row r="196" spans="1:11" ht="15.9">
      <c r="A196" s="5" t="s">
        <v>313</v>
      </c>
      <c r="B196" s="9" t="s">
        <v>343</v>
      </c>
      <c r="K196" s="9" t="s">
        <v>344</v>
      </c>
    </row>
    <row r="197" spans="1:11" ht="15.9">
      <c r="A197" s="5" t="s">
        <v>313</v>
      </c>
      <c r="B197" s="9" t="s">
        <v>344</v>
      </c>
      <c r="K197" s="9" t="s">
        <v>345</v>
      </c>
    </row>
    <row r="198" spans="1:11" ht="15.9">
      <c r="A198" s="5" t="s">
        <v>313</v>
      </c>
      <c r="B198" s="9" t="s">
        <v>345</v>
      </c>
      <c r="K198" s="9" t="s">
        <v>346</v>
      </c>
    </row>
    <row r="199" spans="1:11" ht="15.9">
      <c r="A199" s="5" t="s">
        <v>313</v>
      </c>
      <c r="B199" s="9" t="s">
        <v>346</v>
      </c>
      <c r="K199" s="9" t="s">
        <v>347</v>
      </c>
    </row>
    <row r="200" spans="1:11" ht="15.9">
      <c r="A200" s="5" t="s">
        <v>313</v>
      </c>
      <c r="B200" s="9" t="s">
        <v>347</v>
      </c>
      <c r="K200" s="9" t="s">
        <v>348</v>
      </c>
    </row>
    <row r="201" spans="1:11" ht="15.9">
      <c r="A201" s="5" t="s">
        <v>313</v>
      </c>
      <c r="B201" s="9" t="s">
        <v>348</v>
      </c>
      <c r="K201" s="9" t="s">
        <v>349</v>
      </c>
    </row>
    <row r="202" spans="1:11" ht="15.9">
      <c r="A202" s="5" t="s">
        <v>313</v>
      </c>
      <c r="B202" s="9" t="s">
        <v>349</v>
      </c>
      <c r="K202" s="9" t="s">
        <v>350</v>
      </c>
    </row>
    <row r="203" spans="1:11" ht="15.9">
      <c r="A203" s="5" t="s">
        <v>313</v>
      </c>
      <c r="B203" s="9" t="s">
        <v>350</v>
      </c>
      <c r="K203" s="9" t="s">
        <v>351</v>
      </c>
    </row>
    <row r="204" spans="1:11" ht="15.9">
      <c r="A204" s="5" t="s">
        <v>313</v>
      </c>
      <c r="B204" s="9" t="s">
        <v>351</v>
      </c>
      <c r="K204" s="9" t="s">
        <v>352</v>
      </c>
    </row>
    <row r="205" spans="1:11" ht="15.9">
      <c r="A205" s="5" t="s">
        <v>313</v>
      </c>
      <c r="B205" s="9" t="s">
        <v>352</v>
      </c>
      <c r="K205" s="9" t="s">
        <v>353</v>
      </c>
    </row>
    <row r="206" spans="1:11" ht="15.9">
      <c r="A206" s="5" t="s">
        <v>313</v>
      </c>
      <c r="B206" s="9" t="s">
        <v>353</v>
      </c>
      <c r="K206" s="9" t="s">
        <v>354</v>
      </c>
    </row>
    <row r="207" spans="1:11" ht="15.9">
      <c r="A207" s="5" t="s">
        <v>313</v>
      </c>
      <c r="B207" s="9" t="s">
        <v>354</v>
      </c>
      <c r="K207" s="9" t="s">
        <v>355</v>
      </c>
    </row>
    <row r="208" spans="1:11" ht="15.9">
      <c r="A208" s="5" t="s">
        <v>313</v>
      </c>
      <c r="B208" s="9" t="s">
        <v>355</v>
      </c>
      <c r="K208" s="9" t="s">
        <v>356</v>
      </c>
    </row>
    <row r="209" spans="1:11" ht="15.9">
      <c r="A209" s="5" t="s">
        <v>313</v>
      </c>
      <c r="B209" s="9" t="s">
        <v>356</v>
      </c>
      <c r="K209" s="9" t="s">
        <v>357</v>
      </c>
    </row>
    <row r="210" spans="1:11" ht="15.9">
      <c r="A210" s="5" t="s">
        <v>313</v>
      </c>
      <c r="B210" s="9" t="s">
        <v>357</v>
      </c>
      <c r="K210" s="9" t="s">
        <v>358</v>
      </c>
    </row>
    <row r="211" spans="1:11" ht="15.9">
      <c r="A211" s="5" t="s">
        <v>313</v>
      </c>
      <c r="B211" s="9" t="s">
        <v>358</v>
      </c>
      <c r="K211" s="9" t="s">
        <v>359</v>
      </c>
    </row>
    <row r="212" spans="1:11" ht="15.9">
      <c r="A212" s="5" t="s">
        <v>313</v>
      </c>
      <c r="B212" s="9" t="s">
        <v>359</v>
      </c>
      <c r="K212" s="9" t="s">
        <v>360</v>
      </c>
    </row>
    <row r="213" spans="1:11" ht="15.9">
      <c r="A213" s="5" t="s">
        <v>313</v>
      </c>
      <c r="B213" s="9" t="s">
        <v>360</v>
      </c>
      <c r="K213" s="9" t="s">
        <v>361</v>
      </c>
    </row>
    <row r="214" spans="1:11" ht="15.9">
      <c r="A214" s="5" t="s">
        <v>313</v>
      </c>
      <c r="B214" s="9" t="s">
        <v>361</v>
      </c>
      <c r="K214" s="9" t="s">
        <v>362</v>
      </c>
    </row>
    <row r="215" spans="1:11" ht="15.9">
      <c r="A215" s="5" t="s">
        <v>313</v>
      </c>
      <c r="B215" s="9" t="s">
        <v>362</v>
      </c>
      <c r="K215" s="9" t="s">
        <v>363</v>
      </c>
    </row>
    <row r="216" spans="1:11" ht="15.9">
      <c r="A216" s="5" t="s">
        <v>313</v>
      </c>
      <c r="B216" s="9" t="s">
        <v>363</v>
      </c>
      <c r="K216" s="9" t="s">
        <v>364</v>
      </c>
    </row>
    <row r="217" spans="1:11" ht="15.9">
      <c r="A217" s="5" t="s">
        <v>313</v>
      </c>
      <c r="B217" s="9" t="s">
        <v>364</v>
      </c>
      <c r="K217" s="9" t="s">
        <v>365</v>
      </c>
    </row>
    <row r="218" spans="1:11" ht="15.9">
      <c r="A218" s="5" t="s">
        <v>313</v>
      </c>
      <c r="B218" s="9" t="s">
        <v>365</v>
      </c>
      <c r="K218" s="9" t="s">
        <v>366</v>
      </c>
    </row>
    <row r="219" spans="1:11" ht="15.9">
      <c r="A219" s="5" t="s">
        <v>313</v>
      </c>
      <c r="B219" s="9" t="s">
        <v>366</v>
      </c>
      <c r="K219" s="9" t="s">
        <v>367</v>
      </c>
    </row>
    <row r="220" spans="1:11" ht="15.9">
      <c r="A220" s="5" t="s">
        <v>313</v>
      </c>
      <c r="B220" s="9" t="s">
        <v>367</v>
      </c>
      <c r="K220" s="9" t="s">
        <v>368</v>
      </c>
    </row>
    <row r="221" spans="1:11" ht="15.9">
      <c r="A221" s="5" t="s">
        <v>313</v>
      </c>
      <c r="B221" s="9" t="s">
        <v>368</v>
      </c>
      <c r="K221" s="9" t="s">
        <v>369</v>
      </c>
    </row>
    <row r="222" spans="1:11" ht="15.9">
      <c r="A222" s="5" t="s">
        <v>313</v>
      </c>
      <c r="B222" s="9" t="s">
        <v>369</v>
      </c>
      <c r="K222" s="9" t="s">
        <v>370</v>
      </c>
    </row>
    <row r="223" spans="1:11" ht="15.9">
      <c r="A223" s="5" t="s">
        <v>313</v>
      </c>
      <c r="B223" s="9" t="s">
        <v>370</v>
      </c>
      <c r="K223" s="9" t="s">
        <v>371</v>
      </c>
    </row>
    <row r="224" spans="1:11" ht="15.9">
      <c r="A224" s="5" t="s">
        <v>313</v>
      </c>
      <c r="B224" s="9" t="s">
        <v>371</v>
      </c>
      <c r="K224" s="9" t="s">
        <v>373</v>
      </c>
    </row>
    <row r="225" spans="1:11" ht="15.9">
      <c r="A225" s="5" t="s">
        <v>372</v>
      </c>
      <c r="B225" s="9" t="s">
        <v>373</v>
      </c>
      <c r="K225" s="9" t="s">
        <v>374</v>
      </c>
    </row>
    <row r="226" spans="1:11" ht="15.9">
      <c r="A226" s="5" t="s">
        <v>372</v>
      </c>
      <c r="B226" s="9" t="s">
        <v>374</v>
      </c>
    </row>
  </sheetData>
  <conditionalFormatting sqref="K1:M1048576">
    <cfRule type="duplicateValues" dxfId="0" priority="1"/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7b5f71-a41a-402b-b774-804fe063db18">
      <Terms xmlns="http://schemas.microsoft.com/office/infopath/2007/PartnerControls"/>
    </lcf76f155ced4ddcb4097134ff3c332f>
    <TaxCatchAll xmlns="1409c9c2-9051-4730-ac64-013dc1dede6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E8818AEABF0C4491A7805D1EED874E" ma:contentTypeVersion="13" ma:contentTypeDescription="Create a new document." ma:contentTypeScope="" ma:versionID="4c834272eb39b9b5b70f4cd9527c07f1">
  <xsd:schema xmlns:xsd="http://www.w3.org/2001/XMLSchema" xmlns:xs="http://www.w3.org/2001/XMLSchema" xmlns:p="http://schemas.microsoft.com/office/2006/metadata/properties" xmlns:ns2="fb7b5f71-a41a-402b-b774-804fe063db18" xmlns:ns3="1409c9c2-9051-4730-ac64-013dc1dede64" targetNamespace="http://schemas.microsoft.com/office/2006/metadata/properties" ma:root="true" ma:fieldsID="373be6b16b6b61cccf9784a26f3f4784" ns2:_="" ns3:_="">
    <xsd:import namespace="fb7b5f71-a41a-402b-b774-804fe063db18"/>
    <xsd:import namespace="1409c9c2-9051-4730-ac64-013dc1dede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7b5f71-a41a-402b-b774-804fe063d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e909047-b113-4e21-9b30-e448b6dbc3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09c9c2-9051-4730-ac64-013dc1dede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dcdff82-9e38-4da0-9f5e-c73364792b6e}" ma:internalName="TaxCatchAll" ma:showField="CatchAllData" ma:web="1409c9c2-9051-4730-ac64-013dc1dede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E01106E-995E-4F4A-B5B0-76FB802D2EAE}">
  <ds:schemaRefs>
    <ds:schemaRef ds:uri="http://schemas.microsoft.com/office/2006/metadata/properties"/>
    <ds:schemaRef ds:uri="http://schemas.microsoft.com/office/infopath/2007/PartnerControls"/>
    <ds:schemaRef ds:uri="fb7b5f71-a41a-402b-b774-804fe063db18"/>
    <ds:schemaRef ds:uri="1409c9c2-9051-4730-ac64-013dc1dede64"/>
  </ds:schemaRefs>
</ds:datastoreItem>
</file>

<file path=customXml/itemProps2.xml><?xml version="1.0" encoding="utf-8"?>
<ds:datastoreItem xmlns:ds="http://schemas.openxmlformats.org/officeDocument/2006/customXml" ds:itemID="{3B0230CD-E714-481F-A44B-FB348E50C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CE32FC-5CC0-431C-890E-29DDC96ED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7b5f71-a41a-402b-b774-804fe063db18"/>
    <ds:schemaRef ds:uri="1409c9c2-9051-4730-ac64-013dc1dede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Construction ONet Codes</vt:lpstr>
      <vt:lpstr>Community College Programs</vt:lpstr>
      <vt:lpstr>Umaine Programs</vt:lpstr>
      <vt:lpstr>AGC Sponsored Apprenticeships </vt:lpstr>
      <vt:lpstr>General Job Websites</vt:lpstr>
      <vt:lpstr>Sheet1</vt:lpstr>
      <vt:lpstr>JobBoards -DOT Prequal List</vt:lpstr>
      <vt:lpstr>Maine DOT Jobs</vt:lpstr>
      <vt:lpstr>AGC Member list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marco ramirez</cp:lastModifiedBy>
  <cp:revision/>
  <dcterms:created xsi:type="dcterms:W3CDTF">2026-02-11T13:56:08Z</dcterms:created>
  <dcterms:modified xsi:type="dcterms:W3CDTF">2026-04-09T20:13:17Z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0x01010023E8818AEABF0C4491A7805D1EED874E</vt:lpwstr>
  </property>
  <property fmtid="{D5CDD505-2E9C-101B-9397-08002B2CF9AE}" pid="3" name="MediaServiceImageTags">
    <vt:lpwstr/>
  </property>
</Properties>
</file>